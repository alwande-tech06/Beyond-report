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A22F4CAE-28B8-4086-86BD-A927E8015FB9}" xr6:coauthVersionLast="47" xr6:coauthVersionMax="47" xr10:uidLastSave="{00000000-0000-0000-0000-000000000000}"/>
  <bookViews>
    <workbookView xWindow="0" yWindow="0" windowWidth="16384" windowHeight="8192" tabRatio="500" firstSheet="2" activeTab="2" xr2:uid="{00000000-000D-0000-FFFF-FFFF00000000}"/>
  </bookViews>
  <sheets>
    <sheet name="Dataset" sheetId="1" r:id="rId1"/>
    <sheet name="Data Dictionary" sheetId="2" r:id="rId2"/>
    <sheet name="ESG-Financial Risk Scorecard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" i="3" l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F39" i="1"/>
  <c r="K38" i="1"/>
  <c r="F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D40" i="3" l="1"/>
  <c r="C40" i="3"/>
  <c r="D39" i="3"/>
  <c r="C39" i="3"/>
  <c r="D38" i="3"/>
  <c r="D37" i="3"/>
  <c r="C37" i="3"/>
  <c r="D36" i="3"/>
  <c r="D33" i="3"/>
  <c r="C33" i="3"/>
  <c r="D32" i="3"/>
  <c r="C32" i="3"/>
  <c r="D31" i="3"/>
  <c r="C31" i="3"/>
  <c r="D30" i="3"/>
  <c r="C30" i="3"/>
  <c r="D29" i="3"/>
  <c r="C29" i="3"/>
  <c r="D26" i="3"/>
  <c r="C26" i="3"/>
  <c r="D25" i="3"/>
  <c r="C25" i="3"/>
  <c r="D24" i="3"/>
  <c r="C24" i="3"/>
  <c r="D23" i="3"/>
  <c r="C23" i="3"/>
  <c r="D22" i="3"/>
  <c r="C22" i="3"/>
  <c r="D21" i="3"/>
  <c r="C21" i="3"/>
  <c r="D18" i="3"/>
  <c r="C18" i="3"/>
  <c r="D17" i="3"/>
  <c r="C17" i="3"/>
  <c r="D16" i="3"/>
  <c r="C16" i="3"/>
  <c r="D15" i="3"/>
  <c r="C15" i="3"/>
  <c r="D14" i="3"/>
  <c r="C14" i="3"/>
  <c r="D13" i="3"/>
  <c r="C13" i="3"/>
  <c r="D10" i="3"/>
  <c r="C10" i="3"/>
  <c r="D9" i="3"/>
  <c r="C9" i="3"/>
  <c r="D8" i="3"/>
  <c r="C8" i="3"/>
  <c r="D7" i="3"/>
  <c r="C7" i="3"/>
  <c r="D6" i="3"/>
  <c r="C6" i="3"/>
  <c r="D5" i="3"/>
  <c r="C5" i="3"/>
  <c r="E39" i="3" l="1"/>
  <c r="G39" i="3"/>
  <c r="I39" i="3" s="1"/>
  <c r="E38" i="3"/>
  <c r="G38" i="3"/>
  <c r="I38" i="3" s="1"/>
  <c r="E37" i="3"/>
  <c r="G37" i="3"/>
  <c r="I37" i="3" s="1"/>
  <c r="E36" i="3"/>
  <c r="G36" i="3"/>
  <c r="I36" i="3" s="1"/>
  <c r="I41" i="3" s="1"/>
  <c r="B49" i="3" s="1"/>
  <c r="E33" i="3"/>
  <c r="G33" i="3"/>
  <c r="I33" i="3" s="1"/>
  <c r="E32" i="3"/>
  <c r="G32" i="3"/>
  <c r="I32" i="3" s="1"/>
  <c r="E31" i="3"/>
  <c r="G31" i="3"/>
  <c r="I31" i="3" s="1"/>
  <c r="E30" i="3"/>
  <c r="G30" i="3"/>
  <c r="I30" i="3" s="1"/>
  <c r="E29" i="3"/>
  <c r="G29" i="3"/>
  <c r="I29" i="3" s="1"/>
  <c r="I34" i="3" s="1"/>
  <c r="B48" i="3" s="1"/>
  <c r="E26" i="3"/>
  <c r="G26" i="3"/>
  <c r="I26" i="3" s="1"/>
  <c r="E25" i="3"/>
  <c r="G25" i="3"/>
  <c r="I25" i="3" s="1"/>
  <c r="E24" i="3"/>
  <c r="G24" i="3"/>
  <c r="I24" i="3" s="1"/>
  <c r="E23" i="3"/>
  <c r="G23" i="3"/>
  <c r="I23" i="3" s="1"/>
  <c r="E22" i="3"/>
  <c r="G22" i="3"/>
  <c r="I22" i="3" s="1"/>
  <c r="E21" i="3"/>
  <c r="G21" i="3"/>
  <c r="I21" i="3" s="1"/>
  <c r="I27" i="3" s="1"/>
  <c r="B47" i="3" s="1"/>
  <c r="E18" i="3"/>
  <c r="G18" i="3"/>
  <c r="I18" i="3" s="1"/>
  <c r="E17" i="3"/>
  <c r="G17" i="3"/>
  <c r="I17" i="3" s="1"/>
  <c r="E16" i="3"/>
  <c r="G16" i="3"/>
  <c r="I16" i="3" s="1"/>
  <c r="E15" i="3"/>
  <c r="G15" i="3"/>
  <c r="I15" i="3" s="1"/>
  <c r="E14" i="3"/>
  <c r="G14" i="3"/>
  <c r="I14" i="3" s="1"/>
  <c r="E13" i="3"/>
  <c r="G13" i="3"/>
  <c r="I13" i="3" s="1"/>
  <c r="I19" i="3" s="1"/>
  <c r="B46" i="3" s="1"/>
  <c r="E10" i="3"/>
  <c r="G10" i="3"/>
  <c r="I10" i="3" s="1"/>
  <c r="E9" i="3"/>
  <c r="G9" i="3"/>
  <c r="I9" i="3" s="1"/>
  <c r="E8" i="3"/>
  <c r="G8" i="3"/>
  <c r="I8" i="3" s="1"/>
  <c r="E7" i="3"/>
  <c r="G7" i="3"/>
  <c r="I7" i="3" s="1"/>
  <c r="E6" i="3"/>
  <c r="G6" i="3"/>
  <c r="I6" i="3" s="1"/>
  <c r="E5" i="3"/>
  <c r="G5" i="3"/>
  <c r="I5" i="3" s="1"/>
  <c r="I11" i="3" s="1"/>
  <c r="B45" i="3" s="1"/>
</calcChain>
</file>

<file path=xl/sharedStrings.xml><?xml version="1.0" encoding="utf-8"?>
<sst xmlns="http://schemas.openxmlformats.org/spreadsheetml/2006/main" count="1916" uniqueCount="305">
  <si>
    <t>Company</t>
  </si>
  <si>
    <t>Sector</t>
  </si>
  <si>
    <t>Financial Year</t>
  </si>
  <si>
    <t>Indicator</t>
  </si>
  <si>
    <t>Category</t>
  </si>
  <si>
    <t>Value</t>
  </si>
  <si>
    <t>Unit</t>
  </si>
  <si>
    <t>Source Document</t>
  </si>
  <si>
    <t>Page Reference</t>
  </si>
  <si>
    <t>Notes</t>
  </si>
  <si>
    <t>Lookup Key (auto)</t>
  </si>
  <si>
    <t>AECI</t>
  </si>
  <si>
    <t>Chemicals</t>
  </si>
  <si>
    <t>FY2025</t>
  </si>
  <si>
    <t>Revenue</t>
  </si>
  <si>
    <t>Financial</t>
  </si>
  <si>
    <t>Rm</t>
  </si>
  <si>
    <t>AECI 2025 Integrated Report</t>
  </si>
  <si>
    <t>Continuing operations</t>
  </si>
  <si>
    <t>FY2024</t>
  </si>
  <si>
    <t>Restated comparative shown in FY2025 report</t>
  </si>
  <si>
    <t>EBITDA</t>
  </si>
  <si>
    <t>EBITDA margin</t>
  </si>
  <si>
    <t>%</t>
  </si>
  <si>
    <t>HEPS</t>
  </si>
  <si>
    <t>cents</t>
  </si>
  <si>
    <t>Net debt</t>
  </si>
  <si>
    <t>R billion</t>
  </si>
  <si>
    <t>ROIC</t>
  </si>
  <si>
    <t>Total dividend</t>
  </si>
  <si>
    <t>cents per share</t>
  </si>
  <si>
    <t>FY2022</t>
  </si>
  <si>
    <t>EBITDA (core)</t>
  </si>
  <si>
    <t>Baseline year in strategy KPI table</t>
  </si>
  <si>
    <t>FY2023</t>
  </si>
  <si>
    <t>ROIC (strategy KPI)</t>
  </si>
  <si>
    <t>Net debt/EBITDA</t>
  </si>
  <si>
    <t>x</t>
  </si>
  <si>
    <t>TRIR (Total Recordable Injury Rate)</t>
  </si>
  <si>
    <t>Social</t>
  </si>
  <si>
    <t>rate</t>
  </si>
  <si>
    <t>Fatalities</t>
  </si>
  <si>
    <t>number</t>
  </si>
  <si>
    <t>Scope 1 GHG emissions</t>
  </si>
  <si>
    <t>Environmental</t>
  </si>
  <si>
    <t>tCO2e</t>
  </si>
  <si>
    <t>Scope 2 GHG emissions</t>
  </si>
  <si>
    <t>Scope 3 GHG emissions</t>
  </si>
  <si>
    <t>Total carbon footprint (Scope 1+2)</t>
  </si>
  <si>
    <t xml:space="preserve"> [Formula: Scope 1 + Scope 2, linked to rows above]</t>
  </si>
  <si>
    <t>Hazardous waste disposed</t>
  </si>
  <si>
    <t>tonnes</t>
  </si>
  <si>
    <t>Renewable electricity</t>
  </si>
  <si>
    <t>MWh</t>
  </si>
  <si>
    <t>Female representation, top/senior/middle mgmt</t>
  </si>
  <si>
    <t>Total employees</t>
  </si>
  <si>
    <t>Across &gt;20 countries</t>
  </si>
  <si>
    <t>Social responsibility spend</t>
  </si>
  <si>
    <t>ArcelorMittal SA</t>
  </si>
  <si>
    <t>Steel / Basic Materials</t>
  </si>
  <si>
    <t>FY2021</t>
  </si>
  <si>
    <t>Employee &amp; contractor fatalities</t>
  </si>
  <si>
    <t>ArcelorMittal SA 2025 Integrated Report</t>
  </si>
  <si>
    <t>5-year KPI table</t>
  </si>
  <si>
    <t>LTIFR</t>
  </si>
  <si>
    <t>TIFR</t>
  </si>
  <si>
    <t>EBITDA per tonne sold</t>
  </si>
  <si>
    <t>R/t</t>
  </si>
  <si>
    <t>Return on capital employed</t>
  </si>
  <si>
    <t>Steel market share</t>
  </si>
  <si>
    <t>Crude steel production</t>
  </si>
  <si>
    <t>Operational</t>
  </si>
  <si>
    <t>kt/y</t>
  </si>
  <si>
    <t>Cash generated from operations (pre working cap)</t>
  </si>
  <si>
    <t>Net debt position</t>
  </si>
  <si>
    <t>Preferential procurement spend</t>
  </si>
  <si>
    <t>Rbn</t>
  </si>
  <si>
    <t>B-BBEE compliance score</t>
  </si>
  <si>
    <t>rating</t>
  </si>
  <si>
    <t>2025 figure self-assessed</t>
  </si>
  <si>
    <t>Environmental spend</t>
  </si>
  <si>
    <t>CO2 emissions intensity</t>
  </si>
  <si>
    <t>tCO2e/t liquid steel</t>
  </si>
  <si>
    <t>Total cost of employment</t>
  </si>
  <si>
    <t>Omnia</t>
  </si>
  <si>
    <t>Chemicals / Agriculture / Mining</t>
  </si>
  <si>
    <t>Omnia Holdings 2025 Integrated Report</t>
  </si>
  <si>
    <t>FY2021/FY2022 restated in source table</t>
  </si>
  <si>
    <t>Operating profit</t>
  </si>
  <si>
    <t>Basic earnings per share</t>
  </si>
  <si>
    <t>Headline earnings per share</t>
  </si>
  <si>
    <t>tonnes CO2</t>
  </si>
  <si>
    <t>Five-year sustainability performance table</t>
  </si>
  <si>
    <t>Recordable case rate (RCR)</t>
  </si>
  <si>
    <t>per 200,000 hrs</t>
  </si>
  <si>
    <t>Renewable energy use</t>
  </si>
  <si>
    <t>Total permanent employees (SA+Africa+Other)</t>
  </si>
  <si>
    <t>Sappi</t>
  </si>
  <si>
    <t>Paper, Pulp &amp; Forestry Products</t>
  </si>
  <si>
    <t>Sales</t>
  </si>
  <si>
    <t>Sappi 2025 Integrated Report</t>
  </si>
  <si>
    <t>Originally reported as 5,265 US$m; converted to ZAR at the FY2021 average USD/ZAR exchange rate of 14.7955 (source: Nedbank Group Economic Unit, annual average exchange rates) for comparability with the other four Rand-reporting companies.</t>
  </si>
  <si>
    <t>Operating profit excl. special items</t>
  </si>
  <si>
    <t>Originally reported as 203 US$m; converted to ZAR at the FY2021 average USD/ZAR exchange rate of 14.7955 (source: Nedbank Group Economic Unit, annual average exchange rates) for comparability with the other four Rand-reporting companies.</t>
  </si>
  <si>
    <t>Adjusted EBITDA</t>
  </si>
  <si>
    <t>Originally reported as 532 US$m; converted to ZAR at the FY2021 average USD/ZAR exchange rate of 14.7955 (source: Nedbank Group Economic Unit, annual average exchange rates) for comparability with the other four Rand-reporting companies.</t>
  </si>
  <si>
    <t>Profit/(loss) for the year</t>
  </si>
  <si>
    <t>Originally reported as 13 US$m; converted to ZAR at the FY2021 average USD/ZAR exchange rate of 14.7955 (source: Nedbank Group Economic Unit, annual average exchange rates) for comparability with the other four Rand-reporting companies.</t>
  </si>
  <si>
    <t>Headline earnings/(loss) per share</t>
  </si>
  <si>
    <t>Rand cents</t>
  </si>
  <si>
    <t>Originally reported as 5 US cents; converted to ZAR at the FY2021 average USD/ZAR exchange rate of 14.7955 (source: Nedbank Group Economic Unit, annual average exchange rates) for comparability with the other four Rand-reporting companies.</t>
  </si>
  <si>
    <t>Net asset value per share</t>
  </si>
  <si>
    <t>Originally reported as 351 US cents; converted to ZAR at the FY2021 average USD/ZAR exchange rate of 14.7955 (source: Nedbank Group Economic Unit, annual average exchange rates) for comparability with the other four Rand-reporting companies.</t>
  </si>
  <si>
    <t>Originally reported as 7,296 US$m; converted to ZAR at the FY2022 average USD/ZAR exchange rate of 16.3720 (source: Nedbank Group Economic Unit, annual average exchange rates) for comparability with the other four Rand-reporting companies.</t>
  </si>
  <si>
    <t>Originally reported as 1,038 US$m; converted to ZAR at the FY2022 average USD/ZAR exchange rate of 16.3720 (source: Nedbank Group Economic Unit, annual average exchange rates) for comparability with the other four Rand-reporting companies.</t>
  </si>
  <si>
    <t>Originally reported as 1,339 US$m; converted to ZAR at the FY2022 average USD/ZAR exchange rate of 16.3720 (source: Nedbank Group Economic Unit, annual average exchange rates) for comparability with the other four Rand-reporting companies.</t>
  </si>
  <si>
    <t>Originally reported as 536 US$m; converted to ZAR at the FY2022 average USD/ZAR exchange rate of 16.3720 (source: Nedbank Group Economic Unit, annual average exchange rates) for comparability with the other four Rand-reporting companies.</t>
  </si>
  <si>
    <t>Originally reported as 130 US cents; converted to ZAR at the FY2022 average USD/ZAR exchange rate of 16.3720 (source: Nedbank Group Economic Unit, annual average exchange rates) for comparability with the other four Rand-reporting companies.</t>
  </si>
  <si>
    <t>Originally reported as 417 US cents; converted to ZAR at the FY2022 average USD/ZAR exchange rate of 16.3720 (source: Nedbank Group Economic Unit, annual average exchange rates) for comparability with the other four Rand-reporting companies.</t>
  </si>
  <si>
    <t>Originally reported as 5,809 US$m; converted to ZAR at the FY2023 average USD/ZAR exchange rate of 18.4519 (source: Nedbank Group Economic Unit, annual average exchange rates) for comparability with the other four Rand-reporting companies.</t>
  </si>
  <si>
    <t>Originally reported as 432 US$m; converted to ZAR at the FY2023 average USD/ZAR exchange rate of 18.4519 (source: Nedbank Group Economic Unit, annual average exchange rates) for comparability with the other four Rand-reporting companies.</t>
  </si>
  <si>
    <t>Originally reported as 731 US$m; converted to ZAR at the FY2023 average USD/ZAR exchange rate of 18.4519 (source: Nedbank Group Economic Unit, annual average exchange rates) for comparability with the other four Rand-reporting companies.</t>
  </si>
  <si>
    <t>Originally reported as 259 US$m; converted to ZAR at the FY2023 average USD/ZAR exchange rate of 18.4519 (source: Nedbank Group Economic Unit, annual average exchange rates) for comparability with the other four Rand-reporting companies.</t>
  </si>
  <si>
    <t>Originally reported as 50 US cents; converted to ZAR at the FY2023 average USD/ZAR exchange rate of 18.4519 (source: Nedbank Group Economic Unit, annual average exchange rates) for comparability with the other four Rand-reporting companies.</t>
  </si>
  <si>
    <t>Originally reported as 438 US cents; converted to ZAR at the FY2023 average USD/ZAR exchange rate of 18.4519 (source: Nedbank Group Economic Unit, annual average exchange rates) for comparability with the other four Rand-reporting companies.</t>
  </si>
  <si>
    <t>Originally reported as 5,458 US$m; converted to ZAR at the FY2024 average USD/ZAR exchange rate of 18.3308 (source: Nedbank Group Economic Unit, annual average exchange rates) for comparability with the other four Rand-reporting companies.</t>
  </si>
  <si>
    <t>Originally reported as 407 US$m; converted to ZAR at the FY2024 average USD/ZAR exchange rate of 18.3308 (source: Nedbank Group Economic Unit, annual average exchange rates) for comparability with the other four Rand-reporting companies.</t>
  </si>
  <si>
    <t>Originally reported as 684 US$m; converted to ZAR at the FY2024 average USD/ZAR exchange rate of 18.3308 (source: Nedbank Group Economic Unit, annual average exchange rates) for comparability with the other four Rand-reporting companies.</t>
  </si>
  <si>
    <t>Originally reported as 33 US$m; converted to ZAR at the FY2024 average USD/ZAR exchange rate of 18.3308 (source: Nedbank Group Economic Unit, annual average exchange rates) for comparability with the other four Rand-reporting companies.</t>
  </si>
  <si>
    <t>Originally reported as 1 US cents; converted to ZAR at the FY2024 average USD/ZAR exchange rate of 18.3308 (source: Nedbank Group Economic Unit, annual average exchange rates) for comparability with the other four Rand-reporting companies.</t>
  </si>
  <si>
    <t>Originally reported as 430 US cents; converted to ZAR at the FY2024 average USD/ZAR exchange rate of 18.3308 (source: Nedbank Group Economic Unit, annual average exchange rates) for comparability with the other four Rand-reporting companies.</t>
  </si>
  <si>
    <t>Originally reported as 5,420 US$m; converted to ZAR at the FY2025 average USD/ZAR exchange rate of 17.8770 (source: Nedbank Group Economic Unit, annual average exchange rates) for comparability with the other four Rand-reporting companies.</t>
  </si>
  <si>
    <t>Originally reported as 176 US$m; converted to ZAR at the FY2025 average USD/ZAR exchange rate of 17.8770 (source: Nedbank Group Economic Unit, annual average exchange rates) for comparability with the other four Rand-reporting companies.</t>
  </si>
  <si>
    <t>Originally reported as 501 US$m; converted to ZAR at the FY2025 average USD/ZAR exchange rate of 17.8770 (source: Nedbank Group Economic Unit, annual average exchange rates) for comparability with the other four Rand-reporting companies.</t>
  </si>
  <si>
    <t>Originally reported as -177 US$m; converted to ZAR at the FY2025 average USD/ZAR exchange rate of 17.8770 (source: Nedbank Group Economic Unit, annual average exchange rates) for comparability with the other four Rand-reporting companies.</t>
  </si>
  <si>
    <t>Originally reported as -15 US cents; converted to ZAR at the FY2025 average USD/ZAR exchange rate of 17.8770 (source: Nedbank Group Economic Unit, annual average exchange rates) for comparability with the other four Rand-reporting companies.</t>
  </si>
  <si>
    <t>Originally reported as 382 US cents; converted to ZAR at the FY2025 average USD/ZAR exchange rate of 17.8770 (source: Nedbank Group Economic Unit, annual average exchange rates) for comparability with the other four Rand-reporting companies.</t>
  </si>
  <si>
    <t>Sasol</t>
  </si>
  <si>
    <t>Energy &amp; Chemicals</t>
  </si>
  <si>
    <t>GHG emission reduction vs FY2017 baseline (International Chemicals)</t>
  </si>
  <si>
    <t>% reduction</t>
  </si>
  <si>
    <t>Sasol 2025 Integrated Report</t>
  </si>
  <si>
    <t>Target: 30% reduction; group-wide target is 30% by 2030 vs FY2017</t>
  </si>
  <si>
    <t>GHG emission reduction vs FY2017 baseline (Group)</t>
  </si>
  <si>
    <t>Sasol 2024 Integrated Report</t>
  </si>
  <si>
    <t>Combined Sasol Energy and Sasol Chemicals baseline</t>
  </si>
  <si>
    <t>Recordable case rate</t>
  </si>
  <si>
    <t>Five in financial year, one shortly after</t>
  </si>
  <si>
    <t>Investment in skills development</t>
  </si>
  <si>
    <t>Investment in socio-economic development</t>
  </si>
  <si>
    <t>Sasol 2022 Integrated Report</t>
  </si>
  <si>
    <t>'Five tragic fatalities' reported</t>
  </si>
  <si>
    <t>Gender: female representation (South Africa)</t>
  </si>
  <si>
    <t>Male 72% / Female 28%</t>
  </si>
  <si>
    <t>External turnover</t>
  </si>
  <si>
    <t>Sasol Limited audited results announcements (SENS/PRNewswire), FY2021-FY2025</t>
  </si>
  <si>
    <t>n/a</t>
  </si>
  <si>
    <t>Sasol integrated reports do not tabulate a 5-yr financial series; sourced from audited SENS results announcement, 16 Aug 2021</t>
  </si>
  <si>
    <t>Restated comparative as shown in FY2023 SENS announcement, 23 Aug 2023</t>
  </si>
  <si>
    <t>SENS announcement, 23 Aug 2023</t>
  </si>
  <si>
    <t>SENS/PRNewswire announcement, 25 Aug 2025 (FY2025 comparative)</t>
  </si>
  <si>
    <t>SENS/PRNewswire announcement, 25 Aug 2025</t>
  </si>
  <si>
    <t>SENS announcement, 16 Aug 2021</t>
  </si>
  <si>
    <t>SENS announcement, 23 Aug 2022</t>
  </si>
  <si>
    <t>Approx.; final actual referenced as R66.3bn in FY2024 trading statement (12 Aug 2024), original FY2023 release gave EBIT not adjusted EBITDA in extracted text</t>
  </si>
  <si>
    <t>Rand</t>
  </si>
  <si>
    <t>Basic earnings/(loss) per share</t>
  </si>
  <si>
    <t>Net debt (excl. leases)</t>
  </si>
  <si>
    <t>Variable</t>
  </si>
  <si>
    <t>Definition</t>
  </si>
  <si>
    <t>Measurement / Unit</t>
  </si>
  <si>
    <t>Capital (IIRC Six Capitals)</t>
  </si>
  <si>
    <t>Data Type</t>
  </si>
  <si>
    <t>Source Type</t>
  </si>
  <si>
    <t>Total revenue/turnover/sales reported in the consolidated income statement</t>
  </si>
  <si>
    <t>Rm / US$m</t>
  </si>
  <si>
    <t>Financial performance</t>
  </si>
  <si>
    <t>Continuous (numeric)</t>
  </si>
  <si>
    <t>Integrated report, audited financial statements section</t>
  </si>
  <si>
    <t>EBITDA / Adjusted EBITDA</t>
  </si>
  <si>
    <t>Earnings before interest, tax, depreciation and amortisation, as defined by each company</t>
  </si>
  <si>
    <t>Integrated report, financial highlights / CFO report</t>
  </si>
  <si>
    <t>HEPS (Headline Earnings Per Share)</t>
  </si>
  <si>
    <t>Headline earnings attributable to ordinary shareholders divided by the weighted average number of shares in issue, per JSE/SAICA Circular definition</t>
  </si>
  <si>
    <t>cents / US cents</t>
  </si>
  <si>
    <t>Integrated report, financial highlights</t>
  </si>
  <si>
    <t>Net debt / Net debt position</t>
  </si>
  <si>
    <t>Total interest-bearing borrowings less cash and cash equivalents</t>
  </si>
  <si>
    <t>Rm / R billion</t>
  </si>
  <si>
    <t>ROIC / ROCE</t>
  </si>
  <si>
    <t>Return on Invested Capital / Return on Capital Employed, company-specific formula, generally NOPAT (or operating profit) divided by average invested capital</t>
  </si>
  <si>
    <t>Integrated report, strategy/KPI table</t>
  </si>
  <si>
    <t>Direct greenhouse gas emissions from owned or controlled sources, reported per the GHG Protocol</t>
  </si>
  <si>
    <t>Natural</t>
  </si>
  <si>
    <t>Environmental / climate</t>
  </si>
  <si>
    <t>Integrated / sustainability report, ESG data table</t>
  </si>
  <si>
    <t>Indirect GHG emissions from the generation of purchased electricity, steam, heat or cooling consumed</t>
  </si>
  <si>
    <t>Other indirect GHG emissions occurring in a company's value chain</t>
  </si>
  <si>
    <t>Integrated / sustainability report, ESG data table (where disclosed)</t>
  </si>
  <si>
    <t>GHG emission reduction vs baseline</t>
  </si>
  <si>
    <t>Percentage reduction in emissions achieved against a stated historical baseline year, as reported by the company toward its stated target</t>
  </si>
  <si>
    <t>% reduction vs baseline year</t>
  </si>
  <si>
    <t>Integrated report, climate change section</t>
  </si>
  <si>
    <t>Electricity/energy sourced from renewable generation (solar PV, wind, biomass, etc.)</t>
  </si>
  <si>
    <t>Natural / Manufactured</t>
  </si>
  <si>
    <t>Integrated report, environmental performance section</t>
  </si>
  <si>
    <t>Tonnes of hazardous waste sent for disposal (landfill, incineration, or licensed treatment)</t>
  </si>
  <si>
    <t>LTIFR / TRIR / Recordable case rate</t>
  </si>
  <si>
    <t>Lost-Time Injury Frequency Rate / Total Recordable Injury Rate / Recordable Case Rate - workplace safety incidents standardised per 200,000 (or 1,000,000) hours worked</t>
  </si>
  <si>
    <t>Human</t>
  </si>
  <si>
    <t>Social - health &amp; safety</t>
  </si>
  <si>
    <t>Integrated report, social/safety performance section</t>
  </si>
  <si>
    <t>Number of employee and contractor work-related fatalities in the reporting period</t>
  </si>
  <si>
    <t>Discrete (numeric)</t>
  </si>
  <si>
    <t>Female representation in management</t>
  </si>
  <si>
    <t>Proportion of women in top, senior and/or middle management positions</t>
  </si>
  <si>
    <t>Human / Social &amp; Relationship</t>
  </si>
  <si>
    <t>Social - transformation &amp; diversity</t>
  </si>
  <si>
    <t>Integrated report, transformation/employment equity section</t>
  </si>
  <si>
    <t>B-BBEE compliance score / level</t>
  </si>
  <si>
    <t>Broad-Based Black Economic Empowerment rating under the applicable sector charter or generic scorecard, self-assessed or verified</t>
  </si>
  <si>
    <t>rating / level</t>
  </si>
  <si>
    <t>Social &amp; Relationship</t>
  </si>
  <si>
    <t>Social - transformation</t>
  </si>
  <si>
    <t>Ordinal (numeric code)</t>
  </si>
  <si>
    <t>Integrated report, transformation section</t>
  </si>
  <si>
    <t>Total permanent (and, where distinguished, contract) headcount at period end</t>
  </si>
  <si>
    <t>Social - workforce</t>
  </si>
  <si>
    <t>Integrated report, 'our footprint'/workforce section</t>
  </si>
  <si>
    <t>Social responsibility / socio-economic development spend</t>
  </si>
  <si>
    <t>Corporate social investment and socio-economic development expenditure</t>
  </si>
  <si>
    <t>Integrated report, social performance section</t>
  </si>
  <si>
    <t>Emissions per unit of output (e.g. tCO2e per tonne of product)</t>
  </si>
  <si>
    <t>tCO2e / tonne product</t>
  </si>
  <si>
    <t>Environmental - efficiency</t>
  </si>
  <si>
    <t>Integrated report, KPI table</t>
  </si>
  <si>
    <t>Spend directed to qualifying preferential / B-BBEE-recognised suppliers</t>
  </si>
  <si>
    <t>Financial Year (FY)</t>
  </si>
  <si>
    <t>Company reporting year; note that fiscal year-ends differ (AECI, ArcelorMittal SA, Omnia and Sasol = 30 June or calendar; Sappi = year ended September)</t>
  </si>
  <si>
    <t>categorical (FY2021-FY2025)</t>
  </si>
  <si>
    <t>-</t>
  </si>
  <si>
    <t>Identifier</t>
  </si>
  <si>
    <t>Categorical</t>
  </si>
  <si>
    <t>Exchange rates used for Sappi's USD-to-ZAR conversion</t>
  </si>
  <si>
    <t>Average USD/ZAR rate</t>
  </si>
  <si>
    <t>Source</t>
  </si>
  <si>
    <t>Nedbank Group Economic Unit, Annual Average Exchange Rates</t>
  </si>
  <si>
    <t>Note: Sappi's financial year ends 30 September; calendar-year average rates are used as a reasonable proxy for its fiscal year, disclosed here rather than treated as exact. Applying each year's own average rate (rather than a single constant rate) means the resulting % change in Rand terms reflects both Sappi's underlying US-dollar performance and the Rand's depreciation over the period (~21% from FY2021 to FY2025) — this is flagged explicitly wherever Sappi's Rand-converted trend is discussed in the written report.</t>
  </si>
  <si>
    <t>ESG-Adjusted Financial Risk Scorecard</t>
  </si>
  <si>
    <t>Digital/analytical artefact — Phase 5 (ESG-to-Financial-Risk Model). Value columns (C, D) are live formulas that look up the Dataset sheet by company, indicator and financial year (via Dataset!K, the auto-built lookup key), so correcting or extending the Dataset automatically updates this sheet. Blue cells = weight inputs (H), the only true judgement inputs in this model. Black cells = calculated. Yellow = data not yet available (see Notes) and defaulted to a neutral score of 3 rather than guessed.</t>
  </si>
  <si>
    <t>FY2021 value</t>
  </si>
  <si>
    <t>FY2025 value</t>
  </si>
  <si>
    <t>% change
(FY21→FY25)</t>
  </si>
  <si>
    <t>Direction preferred</t>
  </si>
  <si>
    <t>Normalised score (1-5)
5=best</t>
  </si>
  <si>
    <t>Weight</t>
  </si>
  <si>
    <t>Weighted score</t>
  </si>
  <si>
    <t>Total carbon footprint (Scope 1+2, tCO2e)</t>
  </si>
  <si>
    <t>down</t>
  </si>
  <si>
    <t>FY2021 not disclosed in same basis; using FY2024=416,337 as prior-year comparator</t>
  </si>
  <si>
    <t>TRIR (safety)</t>
  </si>
  <si>
    <t>FY2024 comparator = 0.31</t>
  </si>
  <si>
    <t>EBITDA margin (%)</t>
  </si>
  <si>
    <t>up</t>
  </si>
  <si>
    <t>FY2022 baseline used (FY2021 EBITDA margin not disclosed on comparable core basis)</t>
  </si>
  <si>
    <t>ROIC (%)</t>
  </si>
  <si>
    <t>FY2022 baseline (strategy KPI table)</t>
  </si>
  <si>
    <t>Female representation, management (%)</t>
  </si>
  <si>
    <t>FY2024 comparator = 29%</t>
  </si>
  <si>
    <t>Net debt/EBITDA (x)</t>
  </si>
  <si>
    <t>FY2022 baseline</t>
  </si>
  <si>
    <t>COMPOSITE ESG-ADJUSTED FINANCIAL RISK SCORE</t>
  </si>
  <si>
    <t>CO2 intensity (tCO2e/t liquid steel)</t>
  </si>
  <si>
    <t>Intensity worsened FY21-FY25</t>
  </si>
  <si>
    <t>Return on capital employed (%)</t>
  </si>
  <si>
    <t>Sharp deterioration</t>
  </si>
  <si>
    <t>Score declined (self-assessed FY2025)</t>
  </si>
  <si>
    <t>Net debt (Rm)</t>
  </si>
  <si>
    <t>Rising net debt</t>
  </si>
  <si>
    <t>Scope 1 GHG emissions (t)</t>
  </si>
  <si>
    <t>Scope 2 GHG emissions (t)</t>
  </si>
  <si>
    <t>Revenue (Rm)</t>
  </si>
  <si>
    <t>Headline earnings per share (cents)</t>
  </si>
  <si>
    <t>FY2024 comparator = 0.05 (deteriorated)</t>
  </si>
  <si>
    <t>Renewable energy use (MWh)</t>
  </si>
  <si>
    <t>FY2024 comparator = 12,976</t>
  </si>
  <si>
    <t>Sales (Rm, converted from USD)</t>
  </si>
  <si>
    <t>Converted from US$m using OECD/FRED annual average USD/ZAR rate per year; Rand-weakness over the period makes this figure more favourable than the original USD trend.</t>
  </si>
  <si>
    <t>Adjusted EBITDA (Rm, converted from USD)</t>
  </si>
  <si>
    <t>Converted from US$m; up 13.9% in Rand terms over FY2021-FY2025, versus down 5.8% in the original USD figures, due to Rand depreciation over the period.</t>
  </si>
  <si>
    <t>Headline earnings/(loss) per share (cents, converted from USD)</t>
  </si>
  <si>
    <t>Converted from US cents; still turns negative in FY2025 in both currencies.</t>
  </si>
  <si>
    <t>Net asset value per share (cents, converted from USD)</t>
  </si>
  <si>
    <t>Converted from US cents; up 31.6% in Rand terms, versus up 8.8% in USD, due to Rand depreciation.</t>
  </si>
  <si>
    <t>Profit/(loss) for the year (Rm, converted from USD)</t>
  </si>
  <si>
    <t>Converted from US$m; still swings to a loss in FY2025 in both currencies.</t>
  </si>
  <si>
    <t>GHG reduction vs FY2017 baseline (%)</t>
  </si>
  <si>
    <t>Group target 30% by 2030; FY2025 figure is for International Chemicals only (p.85)</t>
  </si>
  <si>
    <t>FY2022 vs FY2024 (most recent disclosed); FY2025 not yet extracted</t>
  </si>
  <si>
    <t>FY2024 only; time series incomplete</t>
  </si>
  <si>
    <t>External turnover (Rm)</t>
  </si>
  <si>
    <t>Sourced from Sasol's audited SENS/PRNewswire results announcements.</t>
  </si>
  <si>
    <t>Adjusted EBITDA (Rm)</t>
  </si>
  <si>
    <t>Now sourced from Sasol's audited SENS/PRNewswire results announcements (external to the integrated reports) since no 5-year table exists in the integrated reports themselves.</t>
  </si>
  <si>
    <t>Summary: composite score by company (5 = strongest ESG-adjusted position, 1 = weakest)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</si>
</sst>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1"/>
      <color rgb="FFFFFFFF"/>
      <name val="Times New Roman"/>
      <charset val="1"/>
    </font>
    <font>
      <sz val="10"/>
      <name val="Times New Roman"/>
      <charset val="1"/>
    </font>
    <font>
      <i/>
      <sz val="9"/>
      <color rgb="FF808080"/>
      <name val="Times New Roman"/>
      <charset val="1"/>
    </font>
    <font>
      <b/>
      <sz val="11"/>
      <name val="Times New Roman"/>
      <charset val="1"/>
    </font>
    <font>
      <b/>
      <sz val="10"/>
      <color rgb="FFFFFFFF"/>
      <name val="Times New Roman"/>
      <charset val="1"/>
    </font>
    <font>
      <i/>
      <sz val="9"/>
      <name val="Times New Roman"/>
      <charset val="1"/>
    </font>
    <font>
      <b/>
      <sz val="14"/>
      <name val="Times New Roman"/>
      <charset val="1"/>
    </font>
    <font>
      <sz val="10"/>
      <color rgb="FF0000FF"/>
      <name val="Times New Roman"/>
      <charset val="1"/>
    </font>
    <font>
      <b/>
      <sz val="1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7" fillId="0" borderId="0" xfId="0" applyFont="1"/>
    <xf numFmtId="0" fontId="5" fillId="2" borderId="0" xfId="0" applyFont="1" applyFill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vertical="top" wrapText="1"/>
    </xf>
    <xf numFmtId="0" fontId="9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6"/>
  <sheetViews>
    <sheetView zoomScaleNormal="100" workbookViewId="0">
      <pane ySplit="1" topLeftCell="A143" activePane="bottomLeft" state="frozen"/>
      <selection pane="bottomLeft" activeCell="F39" sqref="F39"/>
    </sheetView>
  </sheetViews>
  <sheetFormatPr defaultColWidth="8.7109375" defaultRowHeight="15"/>
  <cols>
    <col min="1" max="1" width="16" customWidth="1"/>
    <col min="2" max="2" width="22" customWidth="1"/>
    <col min="3" max="3" width="12" customWidth="1"/>
    <col min="4" max="4" width="42" customWidth="1"/>
    <col min="5" max="5" width="14" customWidth="1"/>
    <col min="6" max="6" width="12" customWidth="1"/>
    <col min="7" max="7" width="16" customWidth="1"/>
    <col min="8" max="8" width="32" customWidth="1"/>
    <col min="9" max="9" width="10" customWidth="1"/>
    <col min="10" max="10" width="40" customWidth="1"/>
    <col min="11" max="11" width="45" customWidth="1"/>
  </cols>
  <sheetData>
    <row r="1" spans="1:1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32183</v>
      </c>
      <c r="G2" s="2" t="s">
        <v>16</v>
      </c>
      <c r="H2" s="2" t="s">
        <v>17</v>
      </c>
      <c r="I2" s="2">
        <v>9</v>
      </c>
      <c r="J2" s="2" t="s">
        <v>18</v>
      </c>
      <c r="K2" s="3" t="str">
        <f>A2&amp;"|"&amp;D2&amp;"|"&amp;C2</f>
        <v>AECI|Revenue|FY2025</v>
      </c>
    </row>
    <row r="3" spans="1:11" ht="15" customHeight="1">
      <c r="A3" s="2" t="s">
        <v>11</v>
      </c>
      <c r="B3" s="2" t="s">
        <v>12</v>
      </c>
      <c r="C3" s="2" t="s">
        <v>19</v>
      </c>
      <c r="D3" s="2" t="s">
        <v>14</v>
      </c>
      <c r="E3" s="2" t="s">
        <v>15</v>
      </c>
      <c r="F3" s="2">
        <v>33598</v>
      </c>
      <c r="G3" s="2" t="s">
        <v>16</v>
      </c>
      <c r="H3" s="2" t="s">
        <v>17</v>
      </c>
      <c r="I3" s="2">
        <v>9</v>
      </c>
      <c r="J3" s="2" t="s">
        <v>20</v>
      </c>
      <c r="K3" s="3" t="str">
        <f>A3&amp;"|"&amp;D3&amp;"|"&amp;C3</f>
        <v>AECI|Revenue|FY2024</v>
      </c>
    </row>
    <row r="4" spans="1:11" ht="15" customHeight="1">
      <c r="A4" s="2" t="s">
        <v>11</v>
      </c>
      <c r="B4" s="2" t="s">
        <v>12</v>
      </c>
      <c r="C4" s="2" t="s">
        <v>13</v>
      </c>
      <c r="D4" s="2" t="s">
        <v>21</v>
      </c>
      <c r="E4" s="2" t="s">
        <v>15</v>
      </c>
      <c r="F4" s="2">
        <v>3412</v>
      </c>
      <c r="G4" s="2" t="s">
        <v>16</v>
      </c>
      <c r="H4" s="2" t="s">
        <v>17</v>
      </c>
      <c r="I4" s="2">
        <v>9</v>
      </c>
      <c r="J4" s="2"/>
      <c r="K4" s="3" t="str">
        <f>A4&amp;"|"&amp;D4&amp;"|"&amp;C4</f>
        <v>AECI|EBITDA|FY2025</v>
      </c>
    </row>
    <row r="5" spans="1:11" ht="15" customHeight="1">
      <c r="A5" s="2" t="s">
        <v>11</v>
      </c>
      <c r="B5" s="2" t="s">
        <v>12</v>
      </c>
      <c r="C5" s="2" t="s">
        <v>19</v>
      </c>
      <c r="D5" s="2" t="s">
        <v>21</v>
      </c>
      <c r="E5" s="2" t="s">
        <v>15</v>
      </c>
      <c r="F5" s="2">
        <v>3034</v>
      </c>
      <c r="G5" s="2" t="s">
        <v>16</v>
      </c>
      <c r="H5" s="2" t="s">
        <v>17</v>
      </c>
      <c r="I5" s="2">
        <v>9</v>
      </c>
      <c r="J5" s="2"/>
      <c r="K5" s="3" t="str">
        <f>A5&amp;"|"&amp;D5&amp;"|"&amp;C5</f>
        <v>AECI|EBITDA|FY2024</v>
      </c>
    </row>
    <row r="6" spans="1:11" ht="15" customHeight="1">
      <c r="A6" s="2" t="s">
        <v>11</v>
      </c>
      <c r="B6" s="2" t="s">
        <v>12</v>
      </c>
      <c r="C6" s="2" t="s">
        <v>13</v>
      </c>
      <c r="D6" s="2" t="s">
        <v>22</v>
      </c>
      <c r="E6" s="2" t="s">
        <v>15</v>
      </c>
      <c r="F6" s="2">
        <v>11</v>
      </c>
      <c r="G6" s="2" t="s">
        <v>23</v>
      </c>
      <c r="H6" s="2" t="s">
        <v>17</v>
      </c>
      <c r="I6" s="2">
        <v>9</v>
      </c>
      <c r="J6" s="2"/>
      <c r="K6" s="3" t="str">
        <f>A6&amp;"|"&amp;D6&amp;"|"&amp;C6</f>
        <v>AECI|EBITDA margin|FY2025</v>
      </c>
    </row>
    <row r="7" spans="1:11" ht="15" customHeight="1">
      <c r="A7" s="2" t="s">
        <v>11</v>
      </c>
      <c r="B7" s="2" t="s">
        <v>12</v>
      </c>
      <c r="C7" s="2" t="s">
        <v>19</v>
      </c>
      <c r="D7" s="2" t="s">
        <v>22</v>
      </c>
      <c r="E7" s="2" t="s">
        <v>15</v>
      </c>
      <c r="F7" s="2">
        <v>9</v>
      </c>
      <c r="G7" s="2" t="s">
        <v>23</v>
      </c>
      <c r="H7" s="2" t="s">
        <v>17</v>
      </c>
      <c r="I7" s="2">
        <v>9</v>
      </c>
      <c r="J7" s="2"/>
      <c r="K7" s="3" t="str">
        <f>A7&amp;"|"&amp;D7&amp;"|"&amp;C7</f>
        <v>AECI|EBITDA margin|FY2024</v>
      </c>
    </row>
    <row r="8" spans="1:11" ht="15" customHeight="1">
      <c r="A8" s="2" t="s">
        <v>11</v>
      </c>
      <c r="B8" s="2" t="s">
        <v>12</v>
      </c>
      <c r="C8" s="2" t="s">
        <v>13</v>
      </c>
      <c r="D8" s="2" t="s">
        <v>24</v>
      </c>
      <c r="E8" s="2" t="s">
        <v>15</v>
      </c>
      <c r="F8" s="2">
        <v>1068</v>
      </c>
      <c r="G8" s="2" t="s">
        <v>25</v>
      </c>
      <c r="H8" s="2" t="s">
        <v>17</v>
      </c>
      <c r="I8" s="2">
        <v>9</v>
      </c>
      <c r="J8" s="2"/>
      <c r="K8" s="3" t="str">
        <f>A8&amp;"|"&amp;D8&amp;"|"&amp;C8</f>
        <v>AECI|HEPS|FY2025</v>
      </c>
    </row>
    <row r="9" spans="1:11" ht="15" customHeight="1">
      <c r="A9" s="2" t="s">
        <v>11</v>
      </c>
      <c r="B9" s="2" t="s">
        <v>12</v>
      </c>
      <c r="C9" s="2" t="s">
        <v>19</v>
      </c>
      <c r="D9" s="2" t="s">
        <v>24</v>
      </c>
      <c r="E9" s="2" t="s">
        <v>15</v>
      </c>
      <c r="F9" s="2">
        <v>716</v>
      </c>
      <c r="G9" s="2" t="s">
        <v>25</v>
      </c>
      <c r="H9" s="2" t="s">
        <v>17</v>
      </c>
      <c r="I9" s="2">
        <v>9</v>
      </c>
      <c r="J9" s="2"/>
      <c r="K9" s="3" t="str">
        <f>A9&amp;"|"&amp;D9&amp;"|"&amp;C9</f>
        <v>AECI|HEPS|FY2024</v>
      </c>
    </row>
    <row r="10" spans="1:11" ht="15" customHeight="1">
      <c r="A10" s="2" t="s">
        <v>11</v>
      </c>
      <c r="B10" s="2" t="s">
        <v>12</v>
      </c>
      <c r="C10" s="2" t="s">
        <v>13</v>
      </c>
      <c r="D10" s="2" t="s">
        <v>26</v>
      </c>
      <c r="E10" s="2" t="s">
        <v>15</v>
      </c>
      <c r="F10" s="2">
        <v>0.5</v>
      </c>
      <c r="G10" s="2" t="s">
        <v>27</v>
      </c>
      <c r="H10" s="2" t="s">
        <v>17</v>
      </c>
      <c r="I10" s="2">
        <v>9</v>
      </c>
      <c r="J10" s="2"/>
      <c r="K10" s="3" t="str">
        <f>A10&amp;"|"&amp;D10&amp;"|"&amp;C10</f>
        <v>AECI|Net debt|FY2025</v>
      </c>
    </row>
    <row r="11" spans="1:11" ht="15" customHeight="1">
      <c r="A11" s="2" t="s">
        <v>11</v>
      </c>
      <c r="B11" s="2" t="s">
        <v>12</v>
      </c>
      <c r="C11" s="2" t="s">
        <v>19</v>
      </c>
      <c r="D11" s="2" t="s">
        <v>26</v>
      </c>
      <c r="E11" s="2" t="s">
        <v>15</v>
      </c>
      <c r="F11" s="2">
        <v>3.7</v>
      </c>
      <c r="G11" s="2" t="s">
        <v>27</v>
      </c>
      <c r="H11" s="2" t="s">
        <v>17</v>
      </c>
      <c r="I11" s="2">
        <v>9</v>
      </c>
      <c r="J11" s="2"/>
      <c r="K11" s="3" t="str">
        <f>A11&amp;"|"&amp;D11&amp;"|"&amp;C11</f>
        <v>AECI|Net debt|FY2024</v>
      </c>
    </row>
    <row r="12" spans="1:11" ht="15" customHeight="1">
      <c r="A12" s="2" t="s">
        <v>11</v>
      </c>
      <c r="B12" s="2" t="s">
        <v>12</v>
      </c>
      <c r="C12" s="2" t="s">
        <v>13</v>
      </c>
      <c r="D12" s="2" t="s">
        <v>28</v>
      </c>
      <c r="E12" s="2" t="s">
        <v>15</v>
      </c>
      <c r="F12" s="2">
        <v>13</v>
      </c>
      <c r="G12" s="2" t="s">
        <v>23</v>
      </c>
      <c r="H12" s="2" t="s">
        <v>17</v>
      </c>
      <c r="I12" s="2">
        <v>9</v>
      </c>
      <c r="J12" s="2"/>
      <c r="K12" s="3" t="str">
        <f>A12&amp;"|"&amp;D12&amp;"|"&amp;C12</f>
        <v>AECI|ROIC|FY2025</v>
      </c>
    </row>
    <row r="13" spans="1:11" ht="15" customHeight="1">
      <c r="A13" s="2" t="s">
        <v>11</v>
      </c>
      <c r="B13" s="2" t="s">
        <v>12</v>
      </c>
      <c r="C13" s="2" t="s">
        <v>19</v>
      </c>
      <c r="D13" s="2" t="s">
        <v>28</v>
      </c>
      <c r="E13" s="2" t="s">
        <v>15</v>
      </c>
      <c r="F13" s="2">
        <v>9</v>
      </c>
      <c r="G13" s="2" t="s">
        <v>23</v>
      </c>
      <c r="H13" s="2" t="s">
        <v>17</v>
      </c>
      <c r="I13" s="2">
        <v>9</v>
      </c>
      <c r="J13" s="2"/>
      <c r="K13" s="3" t="str">
        <f>A13&amp;"|"&amp;D13&amp;"|"&amp;C13</f>
        <v>AECI|ROIC|FY2024</v>
      </c>
    </row>
    <row r="14" spans="1:11" ht="15" customHeight="1">
      <c r="A14" s="2" t="s">
        <v>11</v>
      </c>
      <c r="B14" s="2" t="s">
        <v>12</v>
      </c>
      <c r="C14" s="2" t="s">
        <v>13</v>
      </c>
      <c r="D14" s="2" t="s">
        <v>29</v>
      </c>
      <c r="E14" s="2" t="s">
        <v>15</v>
      </c>
      <c r="F14" s="2">
        <v>228</v>
      </c>
      <c r="G14" s="2" t="s">
        <v>30</v>
      </c>
      <c r="H14" s="2" t="s">
        <v>17</v>
      </c>
      <c r="I14" s="2">
        <v>9</v>
      </c>
      <c r="J14" s="2"/>
      <c r="K14" s="3" t="str">
        <f>A14&amp;"|"&amp;D14&amp;"|"&amp;C14</f>
        <v>AECI|Total dividend|FY2025</v>
      </c>
    </row>
    <row r="15" spans="1:11" ht="15" customHeight="1">
      <c r="A15" s="2" t="s">
        <v>11</v>
      </c>
      <c r="B15" s="2" t="s">
        <v>12</v>
      </c>
      <c r="C15" s="2" t="s">
        <v>19</v>
      </c>
      <c r="D15" s="2" t="s">
        <v>29</v>
      </c>
      <c r="E15" s="2" t="s">
        <v>15</v>
      </c>
      <c r="F15" s="2">
        <v>219</v>
      </c>
      <c r="G15" s="2" t="s">
        <v>30</v>
      </c>
      <c r="H15" s="2" t="s">
        <v>17</v>
      </c>
      <c r="I15" s="2">
        <v>9</v>
      </c>
      <c r="J15" s="2"/>
      <c r="K15" s="3" t="str">
        <f>A15&amp;"|"&amp;D15&amp;"|"&amp;C15</f>
        <v>AECI|Total dividend|FY2024</v>
      </c>
    </row>
    <row r="16" spans="1:11" ht="15" customHeight="1">
      <c r="A16" s="2" t="s">
        <v>11</v>
      </c>
      <c r="B16" s="2" t="s">
        <v>12</v>
      </c>
      <c r="C16" s="2" t="s">
        <v>31</v>
      </c>
      <c r="D16" s="2" t="s">
        <v>32</v>
      </c>
      <c r="E16" s="2" t="s">
        <v>15</v>
      </c>
      <c r="F16" s="2">
        <v>3100</v>
      </c>
      <c r="G16" s="2" t="s">
        <v>16</v>
      </c>
      <c r="H16" s="2" t="s">
        <v>17</v>
      </c>
      <c r="I16" s="2">
        <v>13</v>
      </c>
      <c r="J16" s="2" t="s">
        <v>33</v>
      </c>
      <c r="K16" s="3" t="str">
        <f>A16&amp;"|"&amp;D16&amp;"|"&amp;C16</f>
        <v>AECI|EBITDA (core)|FY2022</v>
      </c>
    </row>
    <row r="17" spans="1:11" ht="15" customHeight="1">
      <c r="A17" s="2" t="s">
        <v>11</v>
      </c>
      <c r="B17" s="2" t="s">
        <v>12</v>
      </c>
      <c r="C17" s="2" t="s">
        <v>34</v>
      </c>
      <c r="D17" s="2" t="s">
        <v>32</v>
      </c>
      <c r="E17" s="2" t="s">
        <v>15</v>
      </c>
      <c r="F17" s="2">
        <v>3401</v>
      </c>
      <c r="G17" s="2" t="s">
        <v>16</v>
      </c>
      <c r="H17" s="2" t="s">
        <v>17</v>
      </c>
      <c r="I17" s="2">
        <v>13</v>
      </c>
      <c r="J17" s="2"/>
      <c r="K17" s="3" t="str">
        <f>A17&amp;"|"&amp;D17&amp;"|"&amp;C17</f>
        <v>AECI|EBITDA (core)|FY2023</v>
      </c>
    </row>
    <row r="18" spans="1:11" ht="15" customHeight="1">
      <c r="A18" s="2" t="s">
        <v>11</v>
      </c>
      <c r="B18" s="2" t="s">
        <v>12</v>
      </c>
      <c r="C18" s="2" t="s">
        <v>19</v>
      </c>
      <c r="D18" s="2" t="s">
        <v>32</v>
      </c>
      <c r="E18" s="2" t="s">
        <v>15</v>
      </c>
      <c r="F18" s="2">
        <v>2957</v>
      </c>
      <c r="G18" s="2" t="s">
        <v>16</v>
      </c>
      <c r="H18" s="2" t="s">
        <v>17</v>
      </c>
      <c r="I18" s="2">
        <v>13</v>
      </c>
      <c r="J18" s="2"/>
      <c r="K18" s="3" t="str">
        <f>A18&amp;"|"&amp;D18&amp;"|"&amp;C18</f>
        <v>AECI|EBITDA (core)|FY2024</v>
      </c>
    </row>
    <row r="19" spans="1:11" ht="15" customHeight="1">
      <c r="A19" s="2" t="s">
        <v>11</v>
      </c>
      <c r="B19" s="2" t="s">
        <v>12</v>
      </c>
      <c r="C19" s="2" t="s">
        <v>13</v>
      </c>
      <c r="D19" s="2" t="s">
        <v>32</v>
      </c>
      <c r="E19" s="2" t="s">
        <v>15</v>
      </c>
      <c r="F19" s="2">
        <v>3248</v>
      </c>
      <c r="G19" s="2" t="s">
        <v>16</v>
      </c>
      <c r="H19" s="2" t="s">
        <v>17</v>
      </c>
      <c r="I19" s="2">
        <v>13</v>
      </c>
      <c r="J19" s="2"/>
      <c r="K19" s="3" t="str">
        <f>A19&amp;"|"&amp;D19&amp;"|"&amp;C19</f>
        <v>AECI|EBITDA (core)|FY2025</v>
      </c>
    </row>
    <row r="20" spans="1:11" ht="15" customHeight="1">
      <c r="A20" s="2" t="s">
        <v>11</v>
      </c>
      <c r="B20" s="2" t="s">
        <v>12</v>
      </c>
      <c r="C20" s="2" t="s">
        <v>31</v>
      </c>
      <c r="D20" s="2" t="s">
        <v>35</v>
      </c>
      <c r="E20" s="2" t="s">
        <v>15</v>
      </c>
      <c r="F20" s="2">
        <v>12</v>
      </c>
      <c r="G20" s="2" t="s">
        <v>23</v>
      </c>
      <c r="H20" s="2" t="s">
        <v>17</v>
      </c>
      <c r="I20" s="2">
        <v>13</v>
      </c>
      <c r="J20" s="2"/>
      <c r="K20" s="3" t="str">
        <f>A20&amp;"|"&amp;D20&amp;"|"&amp;C20</f>
        <v>AECI|ROIC (strategy KPI)|FY2022</v>
      </c>
    </row>
    <row r="21" spans="1:11" ht="15" customHeight="1">
      <c r="A21" s="2" t="s">
        <v>11</v>
      </c>
      <c r="B21" s="2" t="s">
        <v>12</v>
      </c>
      <c r="C21" s="2" t="s">
        <v>34</v>
      </c>
      <c r="D21" s="2" t="s">
        <v>35</v>
      </c>
      <c r="E21" s="2" t="s">
        <v>15</v>
      </c>
      <c r="F21" s="2">
        <v>14</v>
      </c>
      <c r="G21" s="2" t="s">
        <v>23</v>
      </c>
      <c r="H21" s="2" t="s">
        <v>17</v>
      </c>
      <c r="I21" s="2">
        <v>13</v>
      </c>
      <c r="J21" s="2"/>
      <c r="K21" s="3" t="str">
        <f>A21&amp;"|"&amp;D21&amp;"|"&amp;C21</f>
        <v>AECI|ROIC (strategy KPI)|FY2023</v>
      </c>
    </row>
    <row r="22" spans="1:11" ht="15" customHeight="1">
      <c r="A22" s="2" t="s">
        <v>11</v>
      </c>
      <c r="B22" s="2" t="s">
        <v>12</v>
      </c>
      <c r="C22" s="2" t="s">
        <v>19</v>
      </c>
      <c r="D22" s="2" t="s">
        <v>35</v>
      </c>
      <c r="E22" s="2" t="s">
        <v>15</v>
      </c>
      <c r="F22" s="2">
        <v>15</v>
      </c>
      <c r="G22" s="2" t="s">
        <v>23</v>
      </c>
      <c r="H22" s="2" t="s">
        <v>17</v>
      </c>
      <c r="I22" s="2">
        <v>13</v>
      </c>
      <c r="J22" s="2"/>
      <c r="K22" s="3" t="str">
        <f>A22&amp;"|"&amp;D22&amp;"|"&amp;C22</f>
        <v>AECI|ROIC (strategy KPI)|FY2024</v>
      </c>
    </row>
    <row r="23" spans="1:11" ht="15" customHeight="1">
      <c r="A23" s="2" t="s">
        <v>11</v>
      </c>
      <c r="B23" s="2" t="s">
        <v>12</v>
      </c>
      <c r="C23" s="2" t="s">
        <v>13</v>
      </c>
      <c r="D23" s="2" t="s">
        <v>35</v>
      </c>
      <c r="E23" s="2" t="s">
        <v>15</v>
      </c>
      <c r="F23" s="2">
        <v>16</v>
      </c>
      <c r="G23" s="2" t="s">
        <v>23</v>
      </c>
      <c r="H23" s="2" t="s">
        <v>17</v>
      </c>
      <c r="I23" s="2">
        <v>13</v>
      </c>
      <c r="J23" s="2"/>
      <c r="K23" s="3" t="str">
        <f>A23&amp;"|"&amp;D23&amp;"|"&amp;C23</f>
        <v>AECI|ROIC (strategy KPI)|FY2025</v>
      </c>
    </row>
    <row r="24" spans="1:11" ht="15" customHeight="1">
      <c r="A24" s="2" t="s">
        <v>11</v>
      </c>
      <c r="B24" s="2" t="s">
        <v>12</v>
      </c>
      <c r="C24" s="2" t="s">
        <v>31</v>
      </c>
      <c r="D24" s="2" t="s">
        <v>36</v>
      </c>
      <c r="E24" s="2" t="s">
        <v>15</v>
      </c>
      <c r="F24" s="2">
        <v>-1.5</v>
      </c>
      <c r="G24" s="2" t="s">
        <v>37</v>
      </c>
      <c r="H24" s="2" t="s">
        <v>17</v>
      </c>
      <c r="I24" s="2">
        <v>13</v>
      </c>
      <c r="J24" s="2"/>
      <c r="K24" s="3" t="str">
        <f>A24&amp;"|"&amp;D24&amp;"|"&amp;C24</f>
        <v>AECI|Net debt/EBITDA|FY2022</v>
      </c>
    </row>
    <row r="25" spans="1:11" ht="15" customHeight="1">
      <c r="A25" s="2" t="s">
        <v>11</v>
      </c>
      <c r="B25" s="2" t="s">
        <v>12</v>
      </c>
      <c r="C25" s="2" t="s">
        <v>34</v>
      </c>
      <c r="D25" s="2" t="s">
        <v>36</v>
      </c>
      <c r="E25" s="2" t="s">
        <v>15</v>
      </c>
      <c r="F25" s="2">
        <v>1.2</v>
      </c>
      <c r="G25" s="2" t="s">
        <v>37</v>
      </c>
      <c r="H25" s="2" t="s">
        <v>17</v>
      </c>
      <c r="I25" s="2">
        <v>13</v>
      </c>
      <c r="J25" s="2"/>
      <c r="K25" s="3" t="str">
        <f>A25&amp;"|"&amp;D25&amp;"|"&amp;C25</f>
        <v>AECI|Net debt/EBITDA|FY2023</v>
      </c>
    </row>
    <row r="26" spans="1:11" ht="15" customHeight="1">
      <c r="A26" s="2" t="s">
        <v>11</v>
      </c>
      <c r="B26" s="2" t="s">
        <v>12</v>
      </c>
      <c r="C26" s="2" t="s">
        <v>19</v>
      </c>
      <c r="D26" s="2" t="s">
        <v>36</v>
      </c>
      <c r="E26" s="2" t="s">
        <v>15</v>
      </c>
      <c r="F26" s="2">
        <v>1.2</v>
      </c>
      <c r="G26" s="2" t="s">
        <v>37</v>
      </c>
      <c r="H26" s="2" t="s">
        <v>17</v>
      </c>
      <c r="I26" s="2">
        <v>13</v>
      </c>
      <c r="J26" s="2"/>
      <c r="K26" s="3" t="str">
        <f>A26&amp;"|"&amp;D26&amp;"|"&amp;C26</f>
        <v>AECI|Net debt/EBITDA|FY2024</v>
      </c>
    </row>
    <row r="27" spans="1:11" ht="15" customHeight="1">
      <c r="A27" s="2" t="s">
        <v>11</v>
      </c>
      <c r="B27" s="2" t="s">
        <v>12</v>
      </c>
      <c r="C27" s="2" t="s">
        <v>13</v>
      </c>
      <c r="D27" s="2" t="s">
        <v>36</v>
      </c>
      <c r="E27" s="2" t="s">
        <v>15</v>
      </c>
      <c r="F27" s="2">
        <v>0.1</v>
      </c>
      <c r="G27" s="2" t="s">
        <v>37</v>
      </c>
      <c r="H27" s="2" t="s">
        <v>17</v>
      </c>
      <c r="I27" s="2">
        <v>13</v>
      </c>
      <c r="J27" s="2"/>
      <c r="K27" s="3" t="str">
        <f>A27&amp;"|"&amp;D27&amp;"|"&amp;C27</f>
        <v>AECI|Net debt/EBITDA|FY2025</v>
      </c>
    </row>
    <row r="28" spans="1:11" ht="15" customHeight="1">
      <c r="A28" s="2" t="s">
        <v>11</v>
      </c>
      <c r="B28" s="2" t="s">
        <v>12</v>
      </c>
      <c r="C28" s="2" t="s">
        <v>13</v>
      </c>
      <c r="D28" s="2" t="s">
        <v>38</v>
      </c>
      <c r="E28" s="2" t="s">
        <v>39</v>
      </c>
      <c r="F28" s="2">
        <v>0.2</v>
      </c>
      <c r="G28" s="2" t="s">
        <v>40</v>
      </c>
      <c r="H28" s="2" t="s">
        <v>17</v>
      </c>
      <c r="I28" s="2">
        <v>9</v>
      </c>
      <c r="J28" s="2"/>
      <c r="K28" s="3" t="str">
        <f>A28&amp;"|"&amp;D28&amp;"|"&amp;C28</f>
        <v>AECI|TRIR (Total Recordable Injury Rate)|FY2025</v>
      </c>
    </row>
    <row r="29" spans="1:11" ht="15" customHeight="1">
      <c r="A29" s="2" t="s">
        <v>11</v>
      </c>
      <c r="B29" s="2" t="s">
        <v>12</v>
      </c>
      <c r="C29" s="2" t="s">
        <v>19</v>
      </c>
      <c r="D29" s="2" t="s">
        <v>38</v>
      </c>
      <c r="E29" s="2" t="s">
        <v>39</v>
      </c>
      <c r="F29" s="2">
        <v>0.31</v>
      </c>
      <c r="G29" s="2" t="s">
        <v>40</v>
      </c>
      <c r="H29" s="2" t="s">
        <v>17</v>
      </c>
      <c r="I29" s="2">
        <v>9</v>
      </c>
      <c r="J29" s="2"/>
      <c r="K29" s="3" t="str">
        <f>A29&amp;"|"&amp;D29&amp;"|"&amp;C29</f>
        <v>AECI|TRIR (Total Recordable Injury Rate)|FY2024</v>
      </c>
    </row>
    <row r="30" spans="1:11" ht="15" customHeight="1">
      <c r="A30" s="2" t="s">
        <v>11</v>
      </c>
      <c r="B30" s="2" t="s">
        <v>12</v>
      </c>
      <c r="C30" s="2" t="s">
        <v>13</v>
      </c>
      <c r="D30" s="2" t="s">
        <v>41</v>
      </c>
      <c r="E30" s="2" t="s">
        <v>39</v>
      </c>
      <c r="F30" s="2">
        <v>0</v>
      </c>
      <c r="G30" s="2" t="s">
        <v>42</v>
      </c>
      <c r="H30" s="2" t="s">
        <v>17</v>
      </c>
      <c r="I30" s="2">
        <v>9</v>
      </c>
      <c r="J30" s="2"/>
      <c r="K30" s="3" t="str">
        <f>A30&amp;"|"&amp;D30&amp;"|"&amp;C30</f>
        <v>AECI|Fatalities|FY2025</v>
      </c>
    </row>
    <row r="31" spans="1:11" ht="15" customHeight="1">
      <c r="A31" s="2" t="s">
        <v>11</v>
      </c>
      <c r="B31" s="2" t="s">
        <v>12</v>
      </c>
      <c r="C31" s="2" t="s">
        <v>19</v>
      </c>
      <c r="D31" s="2" t="s">
        <v>41</v>
      </c>
      <c r="E31" s="2" t="s">
        <v>39</v>
      </c>
      <c r="F31" s="2">
        <v>0</v>
      </c>
      <c r="G31" s="2" t="s">
        <v>42</v>
      </c>
      <c r="H31" s="2" t="s">
        <v>17</v>
      </c>
      <c r="I31" s="2">
        <v>9</v>
      </c>
      <c r="J31" s="2"/>
      <c r="K31" s="3" t="str">
        <f>A31&amp;"|"&amp;D31&amp;"|"&amp;C31</f>
        <v>AECI|Fatalities|FY2024</v>
      </c>
    </row>
    <row r="32" spans="1:11" ht="15" customHeight="1">
      <c r="A32" s="2" t="s">
        <v>11</v>
      </c>
      <c r="B32" s="2" t="s">
        <v>12</v>
      </c>
      <c r="C32" s="2" t="s">
        <v>13</v>
      </c>
      <c r="D32" s="2" t="s">
        <v>43</v>
      </c>
      <c r="E32" s="2" t="s">
        <v>44</v>
      </c>
      <c r="F32" s="2">
        <v>162998</v>
      </c>
      <c r="G32" s="2" t="s">
        <v>45</v>
      </c>
      <c r="H32" s="2" t="s">
        <v>17</v>
      </c>
      <c r="I32" s="2">
        <v>9</v>
      </c>
      <c r="J32" s="2"/>
      <c r="K32" s="3" t="str">
        <f>A32&amp;"|"&amp;D32&amp;"|"&amp;C32</f>
        <v>AECI|Scope 1 GHG emissions|FY2025</v>
      </c>
    </row>
    <row r="33" spans="1:11" ht="15" customHeight="1">
      <c r="A33" s="2" t="s">
        <v>11</v>
      </c>
      <c r="B33" s="2" t="s">
        <v>12</v>
      </c>
      <c r="C33" s="2" t="s">
        <v>19</v>
      </c>
      <c r="D33" s="2" t="s">
        <v>43</v>
      </c>
      <c r="E33" s="2" t="s">
        <v>44</v>
      </c>
      <c r="F33" s="2">
        <v>199708</v>
      </c>
      <c r="G33" s="2" t="s">
        <v>45</v>
      </c>
      <c r="H33" s="2" t="s">
        <v>17</v>
      </c>
      <c r="I33" s="2">
        <v>9</v>
      </c>
      <c r="J33" s="2"/>
      <c r="K33" s="3" t="str">
        <f>A33&amp;"|"&amp;D33&amp;"|"&amp;C33</f>
        <v>AECI|Scope 1 GHG emissions|FY2024</v>
      </c>
    </row>
    <row r="34" spans="1:11" ht="15" customHeight="1">
      <c r="A34" s="2" t="s">
        <v>11</v>
      </c>
      <c r="B34" s="2" t="s">
        <v>12</v>
      </c>
      <c r="C34" s="2" t="s">
        <v>13</v>
      </c>
      <c r="D34" s="2" t="s">
        <v>46</v>
      </c>
      <c r="E34" s="2" t="s">
        <v>44</v>
      </c>
      <c r="F34" s="2">
        <v>202502</v>
      </c>
      <c r="G34" s="2" t="s">
        <v>45</v>
      </c>
      <c r="H34" s="2" t="s">
        <v>17</v>
      </c>
      <c r="I34" s="2">
        <v>9</v>
      </c>
      <c r="J34" s="2"/>
      <c r="K34" s="3" t="str">
        <f>A34&amp;"|"&amp;D34&amp;"|"&amp;C34</f>
        <v>AECI|Scope 2 GHG emissions|FY2025</v>
      </c>
    </row>
    <row r="35" spans="1:11" ht="15" customHeight="1">
      <c r="A35" s="2" t="s">
        <v>11</v>
      </c>
      <c r="B35" s="2" t="s">
        <v>12</v>
      </c>
      <c r="C35" s="2" t="s">
        <v>19</v>
      </c>
      <c r="D35" s="2" t="s">
        <v>46</v>
      </c>
      <c r="E35" s="2" t="s">
        <v>44</v>
      </c>
      <c r="F35" s="2">
        <v>216629</v>
      </c>
      <c r="G35" s="2" t="s">
        <v>45</v>
      </c>
      <c r="H35" s="2" t="s">
        <v>17</v>
      </c>
      <c r="I35" s="2">
        <v>9</v>
      </c>
      <c r="J35" s="2"/>
      <c r="K35" s="3" t="str">
        <f>A35&amp;"|"&amp;D35&amp;"|"&amp;C35</f>
        <v>AECI|Scope 2 GHG emissions|FY2024</v>
      </c>
    </row>
    <row r="36" spans="1:11" ht="15" customHeight="1">
      <c r="A36" s="2" t="s">
        <v>11</v>
      </c>
      <c r="B36" s="2" t="s">
        <v>12</v>
      </c>
      <c r="C36" s="2" t="s">
        <v>13</v>
      </c>
      <c r="D36" s="2" t="s">
        <v>47</v>
      </c>
      <c r="E36" s="2" t="s">
        <v>44</v>
      </c>
      <c r="F36" s="2">
        <v>957149</v>
      </c>
      <c r="G36" s="2" t="s">
        <v>45</v>
      </c>
      <c r="H36" s="2" t="s">
        <v>17</v>
      </c>
      <c r="I36" s="2">
        <v>9</v>
      </c>
      <c r="J36" s="2"/>
      <c r="K36" s="3" t="str">
        <f>A36&amp;"|"&amp;D36&amp;"|"&amp;C36</f>
        <v>AECI|Scope 3 GHG emissions|FY2025</v>
      </c>
    </row>
    <row r="37" spans="1:11" ht="15" customHeight="1">
      <c r="A37" s="2" t="s">
        <v>11</v>
      </c>
      <c r="B37" s="2" t="s">
        <v>12</v>
      </c>
      <c r="C37" s="2" t="s">
        <v>19</v>
      </c>
      <c r="D37" s="2" t="s">
        <v>47</v>
      </c>
      <c r="E37" s="2" t="s">
        <v>44</v>
      </c>
      <c r="F37" s="2">
        <v>1081153</v>
      </c>
      <c r="G37" s="2" t="s">
        <v>45</v>
      </c>
      <c r="H37" s="2" t="s">
        <v>17</v>
      </c>
      <c r="I37" s="2">
        <v>9</v>
      </c>
      <c r="J37" s="2"/>
      <c r="K37" s="3" t="str">
        <f>A37&amp;"|"&amp;D37&amp;"|"&amp;C37</f>
        <v>AECI|Scope 3 GHG emissions|FY2024</v>
      </c>
    </row>
    <row r="38" spans="1:11" ht="15" customHeight="1">
      <c r="A38" s="2" t="s">
        <v>11</v>
      </c>
      <c r="B38" s="2" t="s">
        <v>12</v>
      </c>
      <c r="C38" s="2" t="s">
        <v>13</v>
      </c>
      <c r="D38" s="2" t="s">
        <v>48</v>
      </c>
      <c r="E38" s="2" t="s">
        <v>44</v>
      </c>
      <c r="F38" s="2">
        <f>F32+F34</f>
        <v>365500</v>
      </c>
      <c r="G38" s="2" t="s">
        <v>45</v>
      </c>
      <c r="H38" s="2" t="s">
        <v>17</v>
      </c>
      <c r="I38" s="2">
        <v>9</v>
      </c>
      <c r="J38" s="2" t="s">
        <v>49</v>
      </c>
      <c r="K38" s="3" t="str">
        <f>A38&amp;"|"&amp;D38&amp;"|"&amp;C38</f>
        <v>AECI|Total carbon footprint (Scope 1+2)|FY2025</v>
      </c>
    </row>
    <row r="39" spans="1:11" ht="15" customHeight="1">
      <c r="A39" s="2" t="s">
        <v>11</v>
      </c>
      <c r="B39" s="2" t="s">
        <v>12</v>
      </c>
      <c r="C39" s="2" t="s">
        <v>19</v>
      </c>
      <c r="D39" s="2" t="s">
        <v>48</v>
      </c>
      <c r="E39" s="2" t="s">
        <v>44</v>
      </c>
      <c r="F39" s="2">
        <f>F33+F35</f>
        <v>416337</v>
      </c>
      <c r="G39" s="2" t="s">
        <v>45</v>
      </c>
      <c r="H39" s="2" t="s">
        <v>17</v>
      </c>
      <c r="I39" s="2">
        <v>9</v>
      </c>
      <c r="J39" s="2" t="s">
        <v>49</v>
      </c>
      <c r="K39" s="3" t="str">
        <f>A39&amp;"|"&amp;D39&amp;"|"&amp;C39</f>
        <v>AECI|Total carbon footprint (Scope 1+2)|FY2024</v>
      </c>
    </row>
    <row r="40" spans="1:11" ht="15" customHeight="1">
      <c r="A40" s="2" t="s">
        <v>11</v>
      </c>
      <c r="B40" s="2" t="s">
        <v>12</v>
      </c>
      <c r="C40" s="2" t="s">
        <v>13</v>
      </c>
      <c r="D40" s="2" t="s">
        <v>50</v>
      </c>
      <c r="E40" s="2" t="s">
        <v>44</v>
      </c>
      <c r="F40" s="2">
        <v>9943</v>
      </c>
      <c r="G40" s="2" t="s">
        <v>51</v>
      </c>
      <c r="H40" s="2" t="s">
        <v>17</v>
      </c>
      <c r="I40" s="2">
        <v>9</v>
      </c>
      <c r="J40" s="2"/>
      <c r="K40" s="3" t="str">
        <f>A40&amp;"|"&amp;D40&amp;"|"&amp;C40</f>
        <v>AECI|Hazardous waste disposed|FY2025</v>
      </c>
    </row>
    <row r="41" spans="1:11" ht="15" customHeight="1">
      <c r="A41" s="2" t="s">
        <v>11</v>
      </c>
      <c r="B41" s="2" t="s">
        <v>12</v>
      </c>
      <c r="C41" s="2" t="s">
        <v>19</v>
      </c>
      <c r="D41" s="2" t="s">
        <v>50</v>
      </c>
      <c r="E41" s="2" t="s">
        <v>44</v>
      </c>
      <c r="F41" s="2">
        <v>12722</v>
      </c>
      <c r="G41" s="2" t="s">
        <v>51</v>
      </c>
      <c r="H41" s="2" t="s">
        <v>17</v>
      </c>
      <c r="I41" s="2">
        <v>9</v>
      </c>
      <c r="J41" s="2"/>
      <c r="K41" s="3" t="str">
        <f>A41&amp;"|"&amp;D41&amp;"|"&amp;C41</f>
        <v>AECI|Hazardous waste disposed|FY2024</v>
      </c>
    </row>
    <row r="42" spans="1:11" ht="15" customHeight="1">
      <c r="A42" s="2" t="s">
        <v>11</v>
      </c>
      <c r="B42" s="2" t="s">
        <v>12</v>
      </c>
      <c r="C42" s="2" t="s">
        <v>13</v>
      </c>
      <c r="D42" s="2" t="s">
        <v>52</v>
      </c>
      <c r="E42" s="2" t="s">
        <v>44</v>
      </c>
      <c r="F42" s="2">
        <v>16669</v>
      </c>
      <c r="G42" s="2" t="s">
        <v>53</v>
      </c>
      <c r="H42" s="2" t="s">
        <v>17</v>
      </c>
      <c r="I42" s="2">
        <v>9</v>
      </c>
      <c r="J42" s="2"/>
      <c r="K42" s="3" t="str">
        <f>A42&amp;"|"&amp;D42&amp;"|"&amp;C42</f>
        <v>AECI|Renewable electricity|FY2025</v>
      </c>
    </row>
    <row r="43" spans="1:11" ht="15" customHeight="1">
      <c r="A43" s="2" t="s">
        <v>11</v>
      </c>
      <c r="B43" s="2" t="s">
        <v>12</v>
      </c>
      <c r="C43" s="2" t="s">
        <v>19</v>
      </c>
      <c r="D43" s="2" t="s">
        <v>52</v>
      </c>
      <c r="E43" s="2" t="s">
        <v>44</v>
      </c>
      <c r="F43" s="2">
        <v>8663</v>
      </c>
      <c r="G43" s="2" t="s">
        <v>53</v>
      </c>
      <c r="H43" s="2" t="s">
        <v>17</v>
      </c>
      <c r="I43" s="2">
        <v>9</v>
      </c>
      <c r="J43" s="2"/>
      <c r="K43" s="3" t="str">
        <f>A43&amp;"|"&amp;D43&amp;"|"&amp;C43</f>
        <v>AECI|Renewable electricity|FY2024</v>
      </c>
    </row>
    <row r="44" spans="1:11" ht="15" customHeight="1">
      <c r="A44" s="2" t="s">
        <v>11</v>
      </c>
      <c r="B44" s="2" t="s">
        <v>12</v>
      </c>
      <c r="C44" s="2" t="s">
        <v>13</v>
      </c>
      <c r="D44" s="2" t="s">
        <v>54</v>
      </c>
      <c r="E44" s="2" t="s">
        <v>39</v>
      </c>
      <c r="F44" s="2">
        <v>30</v>
      </c>
      <c r="G44" s="2" t="s">
        <v>23</v>
      </c>
      <c r="H44" s="2" t="s">
        <v>17</v>
      </c>
      <c r="I44" s="2">
        <v>9</v>
      </c>
      <c r="J44" s="2"/>
      <c r="K44" s="3" t="str">
        <f>A44&amp;"|"&amp;D44&amp;"|"&amp;C44</f>
        <v>AECI|Female representation, top/senior/middle mgmt|FY2025</v>
      </c>
    </row>
    <row r="45" spans="1:11" ht="15" customHeight="1">
      <c r="A45" s="2" t="s">
        <v>11</v>
      </c>
      <c r="B45" s="2" t="s">
        <v>12</v>
      </c>
      <c r="C45" s="2" t="s">
        <v>19</v>
      </c>
      <c r="D45" s="2" t="s">
        <v>54</v>
      </c>
      <c r="E45" s="2" t="s">
        <v>39</v>
      </c>
      <c r="F45" s="2">
        <v>29</v>
      </c>
      <c r="G45" s="2" t="s">
        <v>23</v>
      </c>
      <c r="H45" s="2" t="s">
        <v>17</v>
      </c>
      <c r="I45" s="2">
        <v>9</v>
      </c>
      <c r="J45" s="2"/>
      <c r="K45" s="3" t="str">
        <f>A45&amp;"|"&amp;D45&amp;"|"&amp;C45</f>
        <v>AECI|Female representation, top/senior/middle mgmt|FY2024</v>
      </c>
    </row>
    <row r="46" spans="1:11" ht="15" customHeight="1">
      <c r="A46" s="2" t="s">
        <v>11</v>
      </c>
      <c r="B46" s="2" t="s">
        <v>12</v>
      </c>
      <c r="C46" s="2" t="s">
        <v>13</v>
      </c>
      <c r="D46" s="2" t="s">
        <v>55</v>
      </c>
      <c r="E46" s="2" t="s">
        <v>39</v>
      </c>
      <c r="F46" s="2">
        <v>5459</v>
      </c>
      <c r="G46" s="2" t="s">
        <v>42</v>
      </c>
      <c r="H46" s="2" t="s">
        <v>17</v>
      </c>
      <c r="I46" s="2">
        <v>11</v>
      </c>
      <c r="J46" s="2" t="s">
        <v>56</v>
      </c>
      <c r="K46" s="3" t="str">
        <f>A46&amp;"|"&amp;D46&amp;"|"&amp;C46</f>
        <v>AECI|Total employees|FY2025</v>
      </c>
    </row>
    <row r="47" spans="1:11" ht="15" customHeight="1">
      <c r="A47" s="2" t="s">
        <v>11</v>
      </c>
      <c r="B47" s="2" t="s">
        <v>12</v>
      </c>
      <c r="C47" s="2" t="s">
        <v>13</v>
      </c>
      <c r="D47" s="2" t="s">
        <v>57</v>
      </c>
      <c r="E47" s="2" t="s">
        <v>39</v>
      </c>
      <c r="F47" s="2">
        <v>33</v>
      </c>
      <c r="G47" s="2" t="s">
        <v>16</v>
      </c>
      <c r="H47" s="2" t="s">
        <v>17</v>
      </c>
      <c r="I47" s="2">
        <v>9</v>
      </c>
      <c r="J47" s="2"/>
      <c r="K47" s="3" t="str">
        <f>A47&amp;"|"&amp;D47&amp;"|"&amp;C47</f>
        <v>AECI|Social responsibility spend|FY2025</v>
      </c>
    </row>
    <row r="48" spans="1:11" ht="15" customHeight="1">
      <c r="A48" s="2" t="s">
        <v>11</v>
      </c>
      <c r="B48" s="2" t="s">
        <v>12</v>
      </c>
      <c r="C48" s="2" t="s">
        <v>19</v>
      </c>
      <c r="D48" s="2" t="s">
        <v>57</v>
      </c>
      <c r="E48" s="2" t="s">
        <v>39</v>
      </c>
      <c r="F48" s="2">
        <v>28.5</v>
      </c>
      <c r="G48" s="2" t="s">
        <v>16</v>
      </c>
      <c r="H48" s="2" t="s">
        <v>17</v>
      </c>
      <c r="I48" s="2">
        <v>9</v>
      </c>
      <c r="J48" s="2"/>
      <c r="K48" s="3" t="str">
        <f>A48&amp;"|"&amp;D48&amp;"|"&amp;C48</f>
        <v>AECI|Social responsibility spend|FY2024</v>
      </c>
    </row>
    <row r="49" spans="1:11" ht="15" customHeight="1">
      <c r="A49" s="2" t="s">
        <v>58</v>
      </c>
      <c r="B49" s="2" t="s">
        <v>59</v>
      </c>
      <c r="C49" s="2" t="s">
        <v>60</v>
      </c>
      <c r="D49" s="2" t="s">
        <v>61</v>
      </c>
      <c r="E49" s="2" t="s">
        <v>39</v>
      </c>
      <c r="F49" s="2">
        <v>6</v>
      </c>
      <c r="G49" s="2" t="s">
        <v>42</v>
      </c>
      <c r="H49" s="2" t="s">
        <v>62</v>
      </c>
      <c r="I49" s="2">
        <v>9</v>
      </c>
      <c r="J49" s="2" t="s">
        <v>63</v>
      </c>
      <c r="K49" s="3" t="str">
        <f>A49&amp;"|"&amp;D49&amp;"|"&amp;C49</f>
        <v>ArcelorMittal SA|Employee &amp; contractor fatalities|FY2021</v>
      </c>
    </row>
    <row r="50" spans="1:11" ht="15" customHeight="1">
      <c r="A50" s="2" t="s">
        <v>58</v>
      </c>
      <c r="B50" s="2" t="s">
        <v>59</v>
      </c>
      <c r="C50" s="2" t="s">
        <v>60</v>
      </c>
      <c r="D50" s="2" t="s">
        <v>64</v>
      </c>
      <c r="E50" s="2" t="s">
        <v>39</v>
      </c>
      <c r="F50" s="2">
        <v>0.98</v>
      </c>
      <c r="G50" s="2" t="s">
        <v>40</v>
      </c>
      <c r="H50" s="2" t="s">
        <v>62</v>
      </c>
      <c r="I50" s="2">
        <v>9</v>
      </c>
      <c r="J50" s="2"/>
      <c r="K50" s="3" t="str">
        <f>A50&amp;"|"&amp;D50&amp;"|"&amp;C50</f>
        <v>ArcelorMittal SA|LTIFR|FY2021</v>
      </c>
    </row>
    <row r="51" spans="1:11" ht="15" customHeight="1">
      <c r="A51" s="2" t="s">
        <v>58</v>
      </c>
      <c r="B51" s="2" t="s">
        <v>59</v>
      </c>
      <c r="C51" s="2" t="s">
        <v>60</v>
      </c>
      <c r="D51" s="2" t="s">
        <v>65</v>
      </c>
      <c r="E51" s="2" t="s">
        <v>39</v>
      </c>
      <c r="F51" s="2">
        <v>7.8</v>
      </c>
      <c r="G51" s="2" t="s">
        <v>40</v>
      </c>
      <c r="H51" s="2" t="s">
        <v>62</v>
      </c>
      <c r="I51" s="2">
        <v>9</v>
      </c>
      <c r="J51" s="2"/>
      <c r="K51" s="3" t="str">
        <f>A51&amp;"|"&amp;D51&amp;"|"&amp;C51</f>
        <v>ArcelorMittal SA|TIFR|FY2021</v>
      </c>
    </row>
    <row r="52" spans="1:11" ht="15" customHeight="1">
      <c r="A52" s="2" t="s">
        <v>58</v>
      </c>
      <c r="B52" s="2" t="s">
        <v>59</v>
      </c>
      <c r="C52" s="2" t="s">
        <v>60</v>
      </c>
      <c r="D52" s="2" t="s">
        <v>66</v>
      </c>
      <c r="E52" s="2" t="s">
        <v>15</v>
      </c>
      <c r="F52" s="2">
        <v>3465</v>
      </c>
      <c r="G52" s="2" t="s">
        <v>67</v>
      </c>
      <c r="H52" s="2" t="s">
        <v>62</v>
      </c>
      <c r="I52" s="2">
        <v>9</v>
      </c>
      <c r="J52" s="2"/>
      <c r="K52" s="3" t="str">
        <f>A52&amp;"|"&amp;D52&amp;"|"&amp;C52</f>
        <v>ArcelorMittal SA|EBITDA per tonne sold|FY2021</v>
      </c>
    </row>
    <row r="53" spans="1:11" ht="15" customHeight="1">
      <c r="A53" s="2" t="s">
        <v>58</v>
      </c>
      <c r="B53" s="2" t="s">
        <v>59</v>
      </c>
      <c r="C53" s="2" t="s">
        <v>60</v>
      </c>
      <c r="D53" s="2" t="s">
        <v>68</v>
      </c>
      <c r="E53" s="2" t="s">
        <v>15</v>
      </c>
      <c r="F53" s="2">
        <v>53.9</v>
      </c>
      <c r="G53" s="2" t="s">
        <v>23</v>
      </c>
      <c r="H53" s="2" t="s">
        <v>62</v>
      </c>
      <c r="I53" s="2">
        <v>9</v>
      </c>
      <c r="J53" s="2"/>
      <c r="K53" s="3" t="str">
        <f>A53&amp;"|"&amp;D53&amp;"|"&amp;C53</f>
        <v>ArcelorMittal SA|Return on capital employed|FY2021</v>
      </c>
    </row>
    <row r="54" spans="1:11" ht="15" customHeight="1">
      <c r="A54" s="2" t="s">
        <v>58</v>
      </c>
      <c r="B54" s="2" t="s">
        <v>59</v>
      </c>
      <c r="C54" s="2" t="s">
        <v>60</v>
      </c>
      <c r="D54" s="2" t="s">
        <v>69</v>
      </c>
      <c r="E54" s="2" t="s">
        <v>15</v>
      </c>
      <c r="F54" s="2">
        <v>47</v>
      </c>
      <c r="G54" s="2" t="s">
        <v>23</v>
      </c>
      <c r="H54" s="2" t="s">
        <v>62</v>
      </c>
      <c r="I54" s="2">
        <v>9</v>
      </c>
      <c r="J54" s="2"/>
      <c r="K54" s="3" t="str">
        <f>A54&amp;"|"&amp;D54&amp;"|"&amp;C54</f>
        <v>ArcelorMittal SA|Steel market share|FY2021</v>
      </c>
    </row>
    <row r="55" spans="1:11" ht="15" customHeight="1">
      <c r="A55" s="2" t="s">
        <v>58</v>
      </c>
      <c r="B55" s="2" t="s">
        <v>59</v>
      </c>
      <c r="C55" s="2" t="s">
        <v>60</v>
      </c>
      <c r="D55" s="2" t="s">
        <v>70</v>
      </c>
      <c r="E55" s="2" t="s">
        <v>71</v>
      </c>
      <c r="F55" s="2">
        <v>3096</v>
      </c>
      <c r="G55" s="2" t="s">
        <v>72</v>
      </c>
      <c r="H55" s="2" t="s">
        <v>62</v>
      </c>
      <c r="I55" s="2">
        <v>9</v>
      </c>
      <c r="J55" s="2"/>
      <c r="K55" s="3" t="str">
        <f>A55&amp;"|"&amp;D55&amp;"|"&amp;C55</f>
        <v>ArcelorMittal SA|Crude steel production|FY2021</v>
      </c>
    </row>
    <row r="56" spans="1:11" ht="15" customHeight="1">
      <c r="A56" s="2" t="s">
        <v>58</v>
      </c>
      <c r="B56" s="2" t="s">
        <v>59</v>
      </c>
      <c r="C56" s="2" t="s">
        <v>60</v>
      </c>
      <c r="D56" s="2" t="s">
        <v>73</v>
      </c>
      <c r="E56" s="2" t="s">
        <v>15</v>
      </c>
      <c r="F56" s="2">
        <v>9144</v>
      </c>
      <c r="G56" s="2" t="s">
        <v>16</v>
      </c>
      <c r="H56" s="2" t="s">
        <v>62</v>
      </c>
      <c r="I56" s="2">
        <v>9</v>
      </c>
      <c r="J56" s="2"/>
      <c r="K56" s="3" t="str">
        <f>A56&amp;"|"&amp;D56&amp;"|"&amp;C56</f>
        <v>ArcelorMittal SA|Cash generated from operations (pre working cap)|FY2021</v>
      </c>
    </row>
    <row r="57" spans="1:11" ht="15" customHeight="1">
      <c r="A57" s="2" t="s">
        <v>58</v>
      </c>
      <c r="B57" s="2" t="s">
        <v>59</v>
      </c>
      <c r="C57" s="2" t="s">
        <v>60</v>
      </c>
      <c r="D57" s="2" t="s">
        <v>74</v>
      </c>
      <c r="E57" s="2" t="s">
        <v>15</v>
      </c>
      <c r="F57" s="2">
        <v>1258</v>
      </c>
      <c r="G57" s="2" t="s">
        <v>16</v>
      </c>
      <c r="H57" s="2" t="s">
        <v>62</v>
      </c>
      <c r="I57" s="2">
        <v>9</v>
      </c>
      <c r="J57" s="2"/>
      <c r="K57" s="3" t="str">
        <f>A57&amp;"|"&amp;D57&amp;"|"&amp;C57</f>
        <v>ArcelorMittal SA|Net debt position|FY2021</v>
      </c>
    </row>
    <row r="58" spans="1:11" ht="15" customHeight="1">
      <c r="A58" s="2" t="s">
        <v>58</v>
      </c>
      <c r="B58" s="2" t="s">
        <v>59</v>
      </c>
      <c r="C58" s="2" t="s">
        <v>60</v>
      </c>
      <c r="D58" s="2" t="s">
        <v>75</v>
      </c>
      <c r="E58" s="2" t="s">
        <v>39</v>
      </c>
      <c r="F58" s="2">
        <v>15.4</v>
      </c>
      <c r="G58" s="2" t="s">
        <v>76</v>
      </c>
      <c r="H58" s="2" t="s">
        <v>62</v>
      </c>
      <c r="I58" s="2">
        <v>9</v>
      </c>
      <c r="J58" s="2"/>
      <c r="K58" s="3" t="str">
        <f>A58&amp;"|"&amp;D58&amp;"|"&amp;C58</f>
        <v>ArcelorMittal SA|Preferential procurement spend|FY2021</v>
      </c>
    </row>
    <row r="59" spans="1:11" ht="15" customHeight="1">
      <c r="A59" s="2" t="s">
        <v>58</v>
      </c>
      <c r="B59" s="2" t="s">
        <v>59</v>
      </c>
      <c r="C59" s="2" t="s">
        <v>60</v>
      </c>
      <c r="D59" s="2" t="s">
        <v>77</v>
      </c>
      <c r="E59" s="2" t="s">
        <v>39</v>
      </c>
      <c r="F59" s="2">
        <v>8</v>
      </c>
      <c r="G59" s="2" t="s">
        <v>78</v>
      </c>
      <c r="H59" s="2" t="s">
        <v>62</v>
      </c>
      <c r="I59" s="2">
        <v>9</v>
      </c>
      <c r="J59" s="2" t="s">
        <v>79</v>
      </c>
      <c r="K59" s="3" t="str">
        <f>A59&amp;"|"&amp;D59&amp;"|"&amp;C59</f>
        <v>ArcelorMittal SA|B-BBEE compliance score|FY2021</v>
      </c>
    </row>
    <row r="60" spans="1:11" ht="15" customHeight="1">
      <c r="A60" s="2" t="s">
        <v>58</v>
      </c>
      <c r="B60" s="2" t="s">
        <v>59</v>
      </c>
      <c r="C60" s="2" t="s">
        <v>60</v>
      </c>
      <c r="D60" s="2" t="s">
        <v>80</v>
      </c>
      <c r="E60" s="2" t="s">
        <v>44</v>
      </c>
      <c r="F60" s="2">
        <v>64</v>
      </c>
      <c r="G60" s="2" t="s">
        <v>16</v>
      </c>
      <c r="H60" s="2" t="s">
        <v>62</v>
      </c>
      <c r="I60" s="2">
        <v>9</v>
      </c>
      <c r="J60" s="2"/>
      <c r="K60" s="3" t="str">
        <f>A60&amp;"|"&amp;D60&amp;"|"&amp;C60</f>
        <v>ArcelorMittal SA|Environmental spend|FY2021</v>
      </c>
    </row>
    <row r="61" spans="1:11" ht="15" customHeight="1">
      <c r="A61" s="2" t="s">
        <v>58</v>
      </c>
      <c r="B61" s="2" t="s">
        <v>59</v>
      </c>
      <c r="C61" s="2" t="s">
        <v>60</v>
      </c>
      <c r="D61" s="2" t="s">
        <v>81</v>
      </c>
      <c r="E61" s="2" t="s">
        <v>44</v>
      </c>
      <c r="F61" s="2">
        <v>2.72</v>
      </c>
      <c r="G61" s="2" t="s">
        <v>82</v>
      </c>
      <c r="H61" s="2" t="s">
        <v>62</v>
      </c>
      <c r="I61" s="2">
        <v>9</v>
      </c>
      <c r="J61" s="2"/>
      <c r="K61" s="3" t="str">
        <f>A61&amp;"|"&amp;D61&amp;"|"&amp;C61</f>
        <v>ArcelorMittal SA|CO2 emissions intensity|FY2021</v>
      </c>
    </row>
    <row r="62" spans="1:11" ht="15" customHeight="1">
      <c r="A62" s="2" t="s">
        <v>58</v>
      </c>
      <c r="B62" s="2" t="s">
        <v>59</v>
      </c>
      <c r="C62" s="2" t="s">
        <v>60</v>
      </c>
      <c r="D62" s="2" t="s">
        <v>83</v>
      </c>
      <c r="E62" s="2" t="s">
        <v>39</v>
      </c>
      <c r="F62" s="2">
        <v>4875</v>
      </c>
      <c r="G62" s="2" t="s">
        <v>16</v>
      </c>
      <c r="H62" s="2" t="s">
        <v>62</v>
      </c>
      <c r="I62" s="2">
        <v>9</v>
      </c>
      <c r="J62" s="2"/>
      <c r="K62" s="3" t="str">
        <f>A62&amp;"|"&amp;D62&amp;"|"&amp;C62</f>
        <v>ArcelorMittal SA|Total cost of employment|FY2021</v>
      </c>
    </row>
    <row r="63" spans="1:11" ht="15" customHeight="1">
      <c r="A63" s="2" t="s">
        <v>58</v>
      </c>
      <c r="B63" s="2" t="s">
        <v>59</v>
      </c>
      <c r="C63" s="2" t="s">
        <v>31</v>
      </c>
      <c r="D63" s="2" t="s">
        <v>61</v>
      </c>
      <c r="E63" s="2" t="s">
        <v>39</v>
      </c>
      <c r="F63" s="2">
        <v>2</v>
      </c>
      <c r="G63" s="2" t="s">
        <v>42</v>
      </c>
      <c r="H63" s="2" t="s">
        <v>62</v>
      </c>
      <c r="I63" s="2">
        <v>9</v>
      </c>
      <c r="J63" s="2" t="s">
        <v>63</v>
      </c>
      <c r="K63" s="3" t="str">
        <f>A63&amp;"|"&amp;D63&amp;"|"&amp;C63</f>
        <v>ArcelorMittal SA|Employee &amp; contractor fatalities|FY2022</v>
      </c>
    </row>
    <row r="64" spans="1:11" ht="15" customHeight="1">
      <c r="A64" s="2" t="s">
        <v>58</v>
      </c>
      <c r="B64" s="2" t="s">
        <v>59</v>
      </c>
      <c r="C64" s="2" t="s">
        <v>31</v>
      </c>
      <c r="D64" s="2" t="s">
        <v>64</v>
      </c>
      <c r="E64" s="2" t="s">
        <v>39</v>
      </c>
      <c r="F64" s="2">
        <v>0.87</v>
      </c>
      <c r="G64" s="2" t="s">
        <v>40</v>
      </c>
      <c r="H64" s="2" t="s">
        <v>62</v>
      </c>
      <c r="I64" s="2">
        <v>9</v>
      </c>
      <c r="J64" s="2"/>
      <c r="K64" s="3" t="str">
        <f>A64&amp;"|"&amp;D64&amp;"|"&amp;C64</f>
        <v>ArcelorMittal SA|LTIFR|FY2022</v>
      </c>
    </row>
    <row r="65" spans="1:11" ht="15" customHeight="1">
      <c r="A65" s="2" t="s">
        <v>58</v>
      </c>
      <c r="B65" s="2" t="s">
        <v>59</v>
      </c>
      <c r="C65" s="2" t="s">
        <v>31</v>
      </c>
      <c r="D65" s="2" t="s">
        <v>65</v>
      </c>
      <c r="E65" s="2" t="s">
        <v>39</v>
      </c>
      <c r="F65" s="2">
        <v>5.74</v>
      </c>
      <c r="G65" s="2" t="s">
        <v>40</v>
      </c>
      <c r="H65" s="2" t="s">
        <v>62</v>
      </c>
      <c r="I65" s="2">
        <v>9</v>
      </c>
      <c r="J65" s="2"/>
      <c r="K65" s="3" t="str">
        <f>A65&amp;"|"&amp;D65&amp;"|"&amp;C65</f>
        <v>ArcelorMittal SA|TIFR|FY2022</v>
      </c>
    </row>
    <row r="66" spans="1:11" ht="15" customHeight="1">
      <c r="A66" s="2" t="s">
        <v>58</v>
      </c>
      <c r="B66" s="2" t="s">
        <v>59</v>
      </c>
      <c r="C66" s="2" t="s">
        <v>31</v>
      </c>
      <c r="D66" s="2" t="s">
        <v>66</v>
      </c>
      <c r="E66" s="2" t="s">
        <v>15</v>
      </c>
      <c r="F66" s="2">
        <v>1977</v>
      </c>
      <c r="G66" s="2" t="s">
        <v>67</v>
      </c>
      <c r="H66" s="2" t="s">
        <v>62</v>
      </c>
      <c r="I66" s="2">
        <v>9</v>
      </c>
      <c r="J66" s="2"/>
      <c r="K66" s="3" t="str">
        <f>A66&amp;"|"&amp;D66&amp;"|"&amp;C66</f>
        <v>ArcelorMittal SA|EBITDA per tonne sold|FY2022</v>
      </c>
    </row>
    <row r="67" spans="1:11" ht="15" customHeight="1">
      <c r="A67" s="2" t="s">
        <v>58</v>
      </c>
      <c r="B67" s="2" t="s">
        <v>59</v>
      </c>
      <c r="C67" s="2" t="s">
        <v>31</v>
      </c>
      <c r="D67" s="2" t="s">
        <v>68</v>
      </c>
      <c r="E67" s="2" t="s">
        <v>15</v>
      </c>
      <c r="F67" s="2">
        <v>20.32</v>
      </c>
      <c r="G67" s="2" t="s">
        <v>23</v>
      </c>
      <c r="H67" s="2" t="s">
        <v>62</v>
      </c>
      <c r="I67" s="2">
        <v>9</v>
      </c>
      <c r="J67" s="2"/>
      <c r="K67" s="3" t="str">
        <f>A67&amp;"|"&amp;D67&amp;"|"&amp;C67</f>
        <v>ArcelorMittal SA|Return on capital employed|FY2022</v>
      </c>
    </row>
    <row r="68" spans="1:11" ht="15" customHeight="1">
      <c r="A68" s="2" t="s">
        <v>58</v>
      </c>
      <c r="B68" s="2" t="s">
        <v>59</v>
      </c>
      <c r="C68" s="2" t="s">
        <v>31</v>
      </c>
      <c r="D68" s="2" t="s">
        <v>69</v>
      </c>
      <c r="E68" s="2" t="s">
        <v>15</v>
      </c>
      <c r="F68" s="2">
        <v>46</v>
      </c>
      <c r="G68" s="2" t="s">
        <v>23</v>
      </c>
      <c r="H68" s="2" t="s">
        <v>62</v>
      </c>
      <c r="I68" s="2">
        <v>9</v>
      </c>
      <c r="J68" s="2"/>
      <c r="K68" s="3" t="str">
        <f>A68&amp;"|"&amp;D68&amp;"|"&amp;C68</f>
        <v>ArcelorMittal SA|Steel market share|FY2022</v>
      </c>
    </row>
    <row r="69" spans="1:11" ht="15" customHeight="1">
      <c r="A69" s="2" t="s">
        <v>58</v>
      </c>
      <c r="B69" s="2" t="s">
        <v>59</v>
      </c>
      <c r="C69" s="2" t="s">
        <v>31</v>
      </c>
      <c r="D69" s="2" t="s">
        <v>70</v>
      </c>
      <c r="E69" s="2" t="s">
        <v>71</v>
      </c>
      <c r="F69" s="2">
        <v>2465</v>
      </c>
      <c r="G69" s="2" t="s">
        <v>72</v>
      </c>
      <c r="H69" s="2" t="s">
        <v>62</v>
      </c>
      <c r="I69" s="2">
        <v>9</v>
      </c>
      <c r="J69" s="2"/>
      <c r="K69" s="3" t="str">
        <f>A69&amp;"|"&amp;D69&amp;"|"&amp;C69</f>
        <v>ArcelorMittal SA|Crude steel production|FY2022</v>
      </c>
    </row>
    <row r="70" spans="1:11" ht="15" customHeight="1">
      <c r="A70" s="2" t="s">
        <v>58</v>
      </c>
      <c r="B70" s="2" t="s">
        <v>59</v>
      </c>
      <c r="C70" s="2" t="s">
        <v>31</v>
      </c>
      <c r="D70" s="2" t="s">
        <v>73</v>
      </c>
      <c r="E70" s="2" t="s">
        <v>15</v>
      </c>
      <c r="F70" s="2">
        <v>4260</v>
      </c>
      <c r="G70" s="2" t="s">
        <v>16</v>
      </c>
      <c r="H70" s="2" t="s">
        <v>62</v>
      </c>
      <c r="I70" s="2">
        <v>9</v>
      </c>
      <c r="J70" s="2"/>
      <c r="K70" s="3" t="str">
        <f>A70&amp;"|"&amp;D70&amp;"|"&amp;C70</f>
        <v>ArcelorMittal SA|Cash generated from operations (pre working cap)|FY2022</v>
      </c>
    </row>
    <row r="71" spans="1:11" ht="15" customHeight="1">
      <c r="A71" s="2" t="s">
        <v>58</v>
      </c>
      <c r="B71" s="2" t="s">
        <v>59</v>
      </c>
      <c r="C71" s="2" t="s">
        <v>31</v>
      </c>
      <c r="D71" s="2" t="s">
        <v>74</v>
      </c>
      <c r="E71" s="2" t="s">
        <v>15</v>
      </c>
      <c r="F71" s="2">
        <v>2808</v>
      </c>
      <c r="G71" s="2" t="s">
        <v>16</v>
      </c>
      <c r="H71" s="2" t="s">
        <v>62</v>
      </c>
      <c r="I71" s="2">
        <v>9</v>
      </c>
      <c r="J71" s="2"/>
      <c r="K71" s="3" t="str">
        <f>A71&amp;"|"&amp;D71&amp;"|"&amp;C71</f>
        <v>ArcelorMittal SA|Net debt position|FY2022</v>
      </c>
    </row>
    <row r="72" spans="1:11" ht="15" customHeight="1">
      <c r="A72" s="2" t="s">
        <v>58</v>
      </c>
      <c r="B72" s="2" t="s">
        <v>59</v>
      </c>
      <c r="C72" s="2" t="s">
        <v>31</v>
      </c>
      <c r="D72" s="2" t="s">
        <v>75</v>
      </c>
      <c r="E72" s="2" t="s">
        <v>39</v>
      </c>
      <c r="F72" s="2">
        <v>16.8</v>
      </c>
      <c r="G72" s="2" t="s">
        <v>76</v>
      </c>
      <c r="H72" s="2" t="s">
        <v>62</v>
      </c>
      <c r="I72" s="2">
        <v>9</v>
      </c>
      <c r="J72" s="2"/>
      <c r="K72" s="3" t="str">
        <f>A72&amp;"|"&amp;D72&amp;"|"&amp;C72</f>
        <v>ArcelorMittal SA|Preferential procurement spend|FY2022</v>
      </c>
    </row>
    <row r="73" spans="1:11" ht="15" customHeight="1">
      <c r="A73" s="2" t="s">
        <v>58</v>
      </c>
      <c r="B73" s="2" t="s">
        <v>59</v>
      </c>
      <c r="C73" s="2" t="s">
        <v>31</v>
      </c>
      <c r="D73" s="2" t="s">
        <v>77</v>
      </c>
      <c r="E73" s="2" t="s">
        <v>39</v>
      </c>
      <c r="F73" s="2">
        <v>5</v>
      </c>
      <c r="G73" s="2" t="s">
        <v>78</v>
      </c>
      <c r="H73" s="2" t="s">
        <v>62</v>
      </c>
      <c r="I73" s="2">
        <v>9</v>
      </c>
      <c r="J73" s="2" t="s">
        <v>79</v>
      </c>
      <c r="K73" s="3" t="str">
        <f>A73&amp;"|"&amp;D73&amp;"|"&amp;C73</f>
        <v>ArcelorMittal SA|B-BBEE compliance score|FY2022</v>
      </c>
    </row>
    <row r="74" spans="1:11" ht="15" customHeight="1">
      <c r="A74" s="2" t="s">
        <v>58</v>
      </c>
      <c r="B74" s="2" t="s">
        <v>59</v>
      </c>
      <c r="C74" s="2" t="s">
        <v>31</v>
      </c>
      <c r="D74" s="2" t="s">
        <v>80</v>
      </c>
      <c r="E74" s="2" t="s">
        <v>44</v>
      </c>
      <c r="F74" s="2">
        <v>301</v>
      </c>
      <c r="G74" s="2" t="s">
        <v>16</v>
      </c>
      <c r="H74" s="2" t="s">
        <v>62</v>
      </c>
      <c r="I74" s="2">
        <v>9</v>
      </c>
      <c r="J74" s="2"/>
      <c r="K74" s="3" t="str">
        <f>A74&amp;"|"&amp;D74&amp;"|"&amp;C74</f>
        <v>ArcelorMittal SA|Environmental spend|FY2022</v>
      </c>
    </row>
    <row r="75" spans="1:11" ht="15" customHeight="1">
      <c r="A75" s="2" t="s">
        <v>58</v>
      </c>
      <c r="B75" s="2" t="s">
        <v>59</v>
      </c>
      <c r="C75" s="2" t="s">
        <v>31</v>
      </c>
      <c r="D75" s="2" t="s">
        <v>81</v>
      </c>
      <c r="E75" s="2" t="s">
        <v>44</v>
      </c>
      <c r="F75" s="2">
        <v>3.39</v>
      </c>
      <c r="G75" s="2" t="s">
        <v>82</v>
      </c>
      <c r="H75" s="2" t="s">
        <v>62</v>
      </c>
      <c r="I75" s="2">
        <v>9</v>
      </c>
      <c r="J75" s="2"/>
      <c r="K75" s="3" t="str">
        <f>A75&amp;"|"&amp;D75&amp;"|"&amp;C75</f>
        <v>ArcelorMittal SA|CO2 emissions intensity|FY2022</v>
      </c>
    </row>
    <row r="76" spans="1:11" ht="15" customHeight="1">
      <c r="A76" s="2" t="s">
        <v>58</v>
      </c>
      <c r="B76" s="2" t="s">
        <v>59</v>
      </c>
      <c r="C76" s="2" t="s">
        <v>31</v>
      </c>
      <c r="D76" s="2" t="s">
        <v>83</v>
      </c>
      <c r="E76" s="2" t="s">
        <v>39</v>
      </c>
      <c r="F76" s="2">
        <v>4959</v>
      </c>
      <c r="G76" s="2" t="s">
        <v>16</v>
      </c>
      <c r="H76" s="2" t="s">
        <v>62</v>
      </c>
      <c r="I76" s="2">
        <v>9</v>
      </c>
      <c r="J76" s="2"/>
      <c r="K76" s="3" t="str">
        <f>A76&amp;"|"&amp;D76&amp;"|"&amp;C76</f>
        <v>ArcelorMittal SA|Total cost of employment|FY2022</v>
      </c>
    </row>
    <row r="77" spans="1:11" ht="15" customHeight="1">
      <c r="A77" s="2" t="s">
        <v>58</v>
      </c>
      <c r="B77" s="2" t="s">
        <v>59</v>
      </c>
      <c r="C77" s="2" t="s">
        <v>34</v>
      </c>
      <c r="D77" s="2" t="s">
        <v>61</v>
      </c>
      <c r="E77" s="2" t="s">
        <v>39</v>
      </c>
      <c r="F77" s="2">
        <v>1</v>
      </c>
      <c r="G77" s="2" t="s">
        <v>42</v>
      </c>
      <c r="H77" s="2" t="s">
        <v>62</v>
      </c>
      <c r="I77" s="2">
        <v>9</v>
      </c>
      <c r="J77" s="2" t="s">
        <v>63</v>
      </c>
      <c r="K77" s="3" t="str">
        <f>A77&amp;"|"&amp;D77&amp;"|"&amp;C77</f>
        <v>ArcelorMittal SA|Employee &amp; contractor fatalities|FY2023</v>
      </c>
    </row>
    <row r="78" spans="1:11" ht="15" customHeight="1">
      <c r="A78" s="2" t="s">
        <v>58</v>
      </c>
      <c r="B78" s="2" t="s">
        <v>59</v>
      </c>
      <c r="C78" s="2" t="s">
        <v>34</v>
      </c>
      <c r="D78" s="2" t="s">
        <v>64</v>
      </c>
      <c r="E78" s="2" t="s">
        <v>39</v>
      </c>
      <c r="F78" s="2">
        <v>0.77</v>
      </c>
      <c r="G78" s="2" t="s">
        <v>40</v>
      </c>
      <c r="H78" s="2" t="s">
        <v>62</v>
      </c>
      <c r="I78" s="2">
        <v>9</v>
      </c>
      <c r="J78" s="2"/>
      <c r="K78" s="3" t="str">
        <f>A78&amp;"|"&amp;D78&amp;"|"&amp;C78</f>
        <v>ArcelorMittal SA|LTIFR|FY2023</v>
      </c>
    </row>
    <row r="79" spans="1:11" ht="15" customHeight="1">
      <c r="A79" s="2" t="s">
        <v>58</v>
      </c>
      <c r="B79" s="2" t="s">
        <v>59</v>
      </c>
      <c r="C79" s="2" t="s">
        <v>34</v>
      </c>
      <c r="D79" s="2" t="s">
        <v>65</v>
      </c>
      <c r="E79" s="2" t="s">
        <v>39</v>
      </c>
      <c r="F79" s="2">
        <v>7.69</v>
      </c>
      <c r="G79" s="2" t="s">
        <v>40</v>
      </c>
      <c r="H79" s="2" t="s">
        <v>62</v>
      </c>
      <c r="I79" s="2">
        <v>9</v>
      </c>
      <c r="J79" s="2"/>
      <c r="K79" s="3" t="str">
        <f>A79&amp;"|"&amp;D79&amp;"|"&amp;C79</f>
        <v>ArcelorMittal SA|TIFR|FY2023</v>
      </c>
    </row>
    <row r="80" spans="1:11" ht="15" customHeight="1">
      <c r="A80" s="2" t="s">
        <v>58</v>
      </c>
      <c r="B80" s="2" t="s">
        <v>59</v>
      </c>
      <c r="C80" s="2" t="s">
        <v>34</v>
      </c>
      <c r="D80" s="2" t="s">
        <v>66</v>
      </c>
      <c r="E80" s="2" t="s">
        <v>15</v>
      </c>
      <c r="F80" s="2">
        <v>23</v>
      </c>
      <c r="G80" s="2" t="s">
        <v>67</v>
      </c>
      <c r="H80" s="2" t="s">
        <v>62</v>
      </c>
      <c r="I80" s="2">
        <v>9</v>
      </c>
      <c r="J80" s="2"/>
      <c r="K80" s="3" t="str">
        <f>A80&amp;"|"&amp;D80&amp;"|"&amp;C80</f>
        <v>ArcelorMittal SA|EBITDA per tonne sold|FY2023</v>
      </c>
    </row>
    <row r="81" spans="1:11" ht="15" customHeight="1">
      <c r="A81" s="2" t="s">
        <v>58</v>
      </c>
      <c r="B81" s="2" t="s">
        <v>59</v>
      </c>
      <c r="C81" s="2" t="s">
        <v>34</v>
      </c>
      <c r="D81" s="2" t="s">
        <v>68</v>
      </c>
      <c r="E81" s="2" t="s">
        <v>15</v>
      </c>
      <c r="F81" s="2">
        <v>-2.16</v>
      </c>
      <c r="G81" s="2" t="s">
        <v>23</v>
      </c>
      <c r="H81" s="2" t="s">
        <v>62</v>
      </c>
      <c r="I81" s="2">
        <v>9</v>
      </c>
      <c r="J81" s="2"/>
      <c r="K81" s="3" t="str">
        <f>A81&amp;"|"&amp;D81&amp;"|"&amp;C81</f>
        <v>ArcelorMittal SA|Return on capital employed|FY2023</v>
      </c>
    </row>
    <row r="82" spans="1:11" ht="15" customHeight="1">
      <c r="A82" s="2" t="s">
        <v>58</v>
      </c>
      <c r="B82" s="2" t="s">
        <v>59</v>
      </c>
      <c r="C82" s="2" t="s">
        <v>34</v>
      </c>
      <c r="D82" s="2" t="s">
        <v>69</v>
      </c>
      <c r="E82" s="2" t="s">
        <v>15</v>
      </c>
      <c r="F82" s="2">
        <v>46</v>
      </c>
      <c r="G82" s="2" t="s">
        <v>23</v>
      </c>
      <c r="H82" s="2" t="s">
        <v>62</v>
      </c>
      <c r="I82" s="2">
        <v>9</v>
      </c>
      <c r="J82" s="2"/>
      <c r="K82" s="3" t="str">
        <f>A82&amp;"|"&amp;D82&amp;"|"&amp;C82</f>
        <v>ArcelorMittal SA|Steel market share|FY2023</v>
      </c>
    </row>
    <row r="83" spans="1:11" ht="15" customHeight="1">
      <c r="A83" s="2" t="s">
        <v>58</v>
      </c>
      <c r="B83" s="2" t="s">
        <v>59</v>
      </c>
      <c r="C83" s="2" t="s">
        <v>34</v>
      </c>
      <c r="D83" s="2" t="s">
        <v>70</v>
      </c>
      <c r="E83" s="2" t="s">
        <v>71</v>
      </c>
      <c r="F83" s="2">
        <v>2817</v>
      </c>
      <c r="G83" s="2" t="s">
        <v>72</v>
      </c>
      <c r="H83" s="2" t="s">
        <v>62</v>
      </c>
      <c r="I83" s="2">
        <v>9</v>
      </c>
      <c r="J83" s="2"/>
      <c r="K83" s="3" t="str">
        <f>A83&amp;"|"&amp;D83&amp;"|"&amp;C83</f>
        <v>ArcelorMittal SA|Crude steel production|FY2023</v>
      </c>
    </row>
    <row r="84" spans="1:11" ht="15" customHeight="1">
      <c r="A84" s="2" t="s">
        <v>58</v>
      </c>
      <c r="B84" s="2" t="s">
        <v>59</v>
      </c>
      <c r="C84" s="2" t="s">
        <v>34</v>
      </c>
      <c r="D84" s="2" t="s">
        <v>73</v>
      </c>
      <c r="E84" s="2" t="s">
        <v>15</v>
      </c>
      <c r="F84" s="2">
        <v>246</v>
      </c>
      <c r="G84" s="2" t="s">
        <v>16</v>
      </c>
      <c r="H84" s="2" t="s">
        <v>62</v>
      </c>
      <c r="I84" s="2">
        <v>9</v>
      </c>
      <c r="J84" s="2"/>
      <c r="K84" s="3" t="str">
        <f>A84&amp;"|"&amp;D84&amp;"|"&amp;C84</f>
        <v>ArcelorMittal SA|Cash generated from operations (pre working cap)|FY2023</v>
      </c>
    </row>
    <row r="85" spans="1:11" ht="15" customHeight="1">
      <c r="A85" s="2" t="s">
        <v>58</v>
      </c>
      <c r="B85" s="2" t="s">
        <v>59</v>
      </c>
      <c r="C85" s="2" t="s">
        <v>34</v>
      </c>
      <c r="D85" s="2" t="s">
        <v>74</v>
      </c>
      <c r="E85" s="2" t="s">
        <v>15</v>
      </c>
      <c r="F85" s="2">
        <v>3215</v>
      </c>
      <c r="G85" s="2" t="s">
        <v>16</v>
      </c>
      <c r="H85" s="2" t="s">
        <v>62</v>
      </c>
      <c r="I85" s="2">
        <v>9</v>
      </c>
      <c r="J85" s="2"/>
      <c r="K85" s="3" t="str">
        <f>A85&amp;"|"&amp;D85&amp;"|"&amp;C85</f>
        <v>ArcelorMittal SA|Net debt position|FY2023</v>
      </c>
    </row>
    <row r="86" spans="1:11" ht="15" customHeight="1">
      <c r="A86" s="2" t="s">
        <v>58</v>
      </c>
      <c r="B86" s="2" t="s">
        <v>59</v>
      </c>
      <c r="C86" s="2" t="s">
        <v>34</v>
      </c>
      <c r="D86" s="2" t="s">
        <v>75</v>
      </c>
      <c r="E86" s="2" t="s">
        <v>39</v>
      </c>
      <c r="F86" s="2">
        <v>19.7</v>
      </c>
      <c r="G86" s="2" t="s">
        <v>76</v>
      </c>
      <c r="H86" s="2" t="s">
        <v>62</v>
      </c>
      <c r="I86" s="2">
        <v>9</v>
      </c>
      <c r="J86" s="2"/>
      <c r="K86" s="3" t="str">
        <f>A86&amp;"|"&amp;D86&amp;"|"&amp;C86</f>
        <v>ArcelorMittal SA|Preferential procurement spend|FY2023</v>
      </c>
    </row>
    <row r="87" spans="1:11" ht="15" customHeight="1">
      <c r="A87" s="2" t="s">
        <v>58</v>
      </c>
      <c r="B87" s="2" t="s">
        <v>59</v>
      </c>
      <c r="C87" s="2" t="s">
        <v>34</v>
      </c>
      <c r="D87" s="2" t="s">
        <v>77</v>
      </c>
      <c r="E87" s="2" t="s">
        <v>39</v>
      </c>
      <c r="F87" s="2">
        <v>6</v>
      </c>
      <c r="G87" s="2" t="s">
        <v>78</v>
      </c>
      <c r="H87" s="2" t="s">
        <v>62</v>
      </c>
      <c r="I87" s="2">
        <v>9</v>
      </c>
      <c r="J87" s="2" t="s">
        <v>79</v>
      </c>
      <c r="K87" s="3" t="str">
        <f>A87&amp;"|"&amp;D87&amp;"|"&amp;C87</f>
        <v>ArcelorMittal SA|B-BBEE compliance score|FY2023</v>
      </c>
    </row>
    <row r="88" spans="1:11" ht="15" customHeight="1">
      <c r="A88" s="2" t="s">
        <v>58</v>
      </c>
      <c r="B88" s="2" t="s">
        <v>59</v>
      </c>
      <c r="C88" s="2" t="s">
        <v>34</v>
      </c>
      <c r="D88" s="2" t="s">
        <v>80</v>
      </c>
      <c r="E88" s="2" t="s">
        <v>44</v>
      </c>
      <c r="F88" s="2">
        <v>269</v>
      </c>
      <c r="G88" s="2" t="s">
        <v>16</v>
      </c>
      <c r="H88" s="2" t="s">
        <v>62</v>
      </c>
      <c r="I88" s="2">
        <v>9</v>
      </c>
      <c r="J88" s="2"/>
      <c r="K88" s="3" t="str">
        <f>A88&amp;"|"&amp;D88&amp;"|"&amp;C88</f>
        <v>ArcelorMittal SA|Environmental spend|FY2023</v>
      </c>
    </row>
    <row r="89" spans="1:11" ht="15" customHeight="1">
      <c r="A89" s="2" t="s">
        <v>58</v>
      </c>
      <c r="B89" s="2" t="s">
        <v>59</v>
      </c>
      <c r="C89" s="2" t="s">
        <v>34</v>
      </c>
      <c r="D89" s="2" t="s">
        <v>81</v>
      </c>
      <c r="E89" s="2" t="s">
        <v>44</v>
      </c>
      <c r="F89" s="2">
        <v>3.38</v>
      </c>
      <c r="G89" s="2" t="s">
        <v>82</v>
      </c>
      <c r="H89" s="2" t="s">
        <v>62</v>
      </c>
      <c r="I89" s="2">
        <v>9</v>
      </c>
      <c r="J89" s="2"/>
      <c r="K89" s="3" t="str">
        <f>A89&amp;"|"&amp;D89&amp;"|"&amp;C89</f>
        <v>ArcelorMittal SA|CO2 emissions intensity|FY2023</v>
      </c>
    </row>
    <row r="90" spans="1:11" ht="15" customHeight="1">
      <c r="A90" s="2" t="s">
        <v>58</v>
      </c>
      <c r="B90" s="2" t="s">
        <v>59</v>
      </c>
      <c r="C90" s="2" t="s">
        <v>34</v>
      </c>
      <c r="D90" s="2" t="s">
        <v>83</v>
      </c>
      <c r="E90" s="2" t="s">
        <v>39</v>
      </c>
      <c r="F90" s="2">
        <v>5053</v>
      </c>
      <c r="G90" s="2" t="s">
        <v>16</v>
      </c>
      <c r="H90" s="2" t="s">
        <v>62</v>
      </c>
      <c r="I90" s="2">
        <v>9</v>
      </c>
      <c r="J90" s="2"/>
      <c r="K90" s="3" t="str">
        <f>A90&amp;"|"&amp;D90&amp;"|"&amp;C90</f>
        <v>ArcelorMittal SA|Total cost of employment|FY2023</v>
      </c>
    </row>
    <row r="91" spans="1:11" ht="15" customHeight="1">
      <c r="A91" s="2" t="s">
        <v>58</v>
      </c>
      <c r="B91" s="2" t="s">
        <v>59</v>
      </c>
      <c r="C91" s="2" t="s">
        <v>19</v>
      </c>
      <c r="D91" s="2" t="s">
        <v>61</v>
      </c>
      <c r="E91" s="2" t="s">
        <v>39</v>
      </c>
      <c r="F91" s="2">
        <v>1</v>
      </c>
      <c r="G91" s="2" t="s">
        <v>42</v>
      </c>
      <c r="H91" s="2" t="s">
        <v>62</v>
      </c>
      <c r="I91" s="2">
        <v>9</v>
      </c>
      <c r="J91" s="2" t="s">
        <v>63</v>
      </c>
      <c r="K91" s="3" t="str">
        <f>A91&amp;"|"&amp;D91&amp;"|"&amp;C91</f>
        <v>ArcelorMittal SA|Employee &amp; contractor fatalities|FY2024</v>
      </c>
    </row>
    <row r="92" spans="1:11" ht="15" customHeight="1">
      <c r="A92" s="2" t="s">
        <v>58</v>
      </c>
      <c r="B92" s="2" t="s">
        <v>59</v>
      </c>
      <c r="C92" s="2" t="s">
        <v>19</v>
      </c>
      <c r="D92" s="2" t="s">
        <v>64</v>
      </c>
      <c r="E92" s="2" t="s">
        <v>39</v>
      </c>
      <c r="F92" s="2">
        <v>1.1299999999999999</v>
      </c>
      <c r="G92" s="2" t="s">
        <v>40</v>
      </c>
      <c r="H92" s="2" t="s">
        <v>62</v>
      </c>
      <c r="I92" s="2">
        <v>9</v>
      </c>
      <c r="J92" s="2"/>
      <c r="K92" s="3" t="str">
        <f>A92&amp;"|"&amp;D92&amp;"|"&amp;C92</f>
        <v>ArcelorMittal SA|LTIFR|FY2024</v>
      </c>
    </row>
    <row r="93" spans="1:11" ht="15" customHeight="1">
      <c r="A93" s="2" t="s">
        <v>58</v>
      </c>
      <c r="B93" s="2" t="s">
        <v>59</v>
      </c>
      <c r="C93" s="2" t="s">
        <v>19</v>
      </c>
      <c r="D93" s="2" t="s">
        <v>65</v>
      </c>
      <c r="E93" s="2" t="s">
        <v>39</v>
      </c>
      <c r="F93" s="2">
        <v>7.16</v>
      </c>
      <c r="G93" s="2" t="s">
        <v>40</v>
      </c>
      <c r="H93" s="2" t="s">
        <v>62</v>
      </c>
      <c r="I93" s="2">
        <v>9</v>
      </c>
      <c r="J93" s="2"/>
      <c r="K93" s="3" t="str">
        <f>A93&amp;"|"&amp;D93&amp;"|"&amp;C93</f>
        <v>ArcelorMittal SA|TIFR|FY2024</v>
      </c>
    </row>
    <row r="94" spans="1:11" ht="15" customHeight="1">
      <c r="A94" s="2" t="s">
        <v>58</v>
      </c>
      <c r="B94" s="2" t="s">
        <v>59</v>
      </c>
      <c r="C94" s="2" t="s">
        <v>19</v>
      </c>
      <c r="D94" s="2" t="s">
        <v>66</v>
      </c>
      <c r="E94" s="2" t="s">
        <v>15</v>
      </c>
      <c r="F94" s="2">
        <v>-1295</v>
      </c>
      <c r="G94" s="2" t="s">
        <v>67</v>
      </c>
      <c r="H94" s="2" t="s">
        <v>62</v>
      </c>
      <c r="I94" s="2">
        <v>9</v>
      </c>
      <c r="J94" s="2"/>
      <c r="K94" s="3" t="str">
        <f>A94&amp;"|"&amp;D94&amp;"|"&amp;C94</f>
        <v>ArcelorMittal SA|EBITDA per tonne sold|FY2024</v>
      </c>
    </row>
    <row r="95" spans="1:11" ht="15" customHeight="1">
      <c r="A95" s="2" t="s">
        <v>58</v>
      </c>
      <c r="B95" s="2" t="s">
        <v>59</v>
      </c>
      <c r="C95" s="2" t="s">
        <v>19</v>
      </c>
      <c r="D95" s="2" t="s">
        <v>68</v>
      </c>
      <c r="E95" s="2" t="s">
        <v>15</v>
      </c>
      <c r="F95" s="2">
        <v>-22.65</v>
      </c>
      <c r="G95" s="2" t="s">
        <v>23</v>
      </c>
      <c r="H95" s="2" t="s">
        <v>62</v>
      </c>
      <c r="I95" s="2">
        <v>9</v>
      </c>
      <c r="J95" s="2"/>
      <c r="K95" s="3" t="str">
        <f>A95&amp;"|"&amp;D95&amp;"|"&amp;C95</f>
        <v>ArcelorMittal SA|Return on capital employed|FY2024</v>
      </c>
    </row>
    <row r="96" spans="1:11" ht="15" customHeight="1">
      <c r="A96" s="2" t="s">
        <v>58</v>
      </c>
      <c r="B96" s="2" t="s">
        <v>59</v>
      </c>
      <c r="C96" s="2" t="s">
        <v>19</v>
      </c>
      <c r="D96" s="2" t="s">
        <v>69</v>
      </c>
      <c r="E96" s="2" t="s">
        <v>15</v>
      </c>
      <c r="F96" s="2">
        <v>46</v>
      </c>
      <c r="G96" s="2" t="s">
        <v>23</v>
      </c>
      <c r="H96" s="2" t="s">
        <v>62</v>
      </c>
      <c r="I96" s="2">
        <v>9</v>
      </c>
      <c r="J96" s="2"/>
      <c r="K96" s="3" t="str">
        <f>A96&amp;"|"&amp;D96&amp;"|"&amp;C96</f>
        <v>ArcelorMittal SA|Steel market share|FY2024</v>
      </c>
    </row>
    <row r="97" spans="1:11" ht="15" customHeight="1">
      <c r="A97" s="2" t="s">
        <v>58</v>
      </c>
      <c r="B97" s="2" t="s">
        <v>59</v>
      </c>
      <c r="C97" s="2" t="s">
        <v>19</v>
      </c>
      <c r="D97" s="2" t="s">
        <v>70</v>
      </c>
      <c r="E97" s="2" t="s">
        <v>71</v>
      </c>
      <c r="F97" s="2">
        <v>2589</v>
      </c>
      <c r="G97" s="2" t="s">
        <v>72</v>
      </c>
      <c r="H97" s="2" t="s">
        <v>62</v>
      </c>
      <c r="I97" s="2">
        <v>9</v>
      </c>
      <c r="J97" s="2"/>
      <c r="K97" s="3" t="str">
        <f>A97&amp;"|"&amp;D97&amp;"|"&amp;C97</f>
        <v>ArcelorMittal SA|Crude steel production|FY2024</v>
      </c>
    </row>
    <row r="98" spans="1:11" ht="15" customHeight="1">
      <c r="A98" s="2" t="s">
        <v>58</v>
      </c>
      <c r="B98" s="2" t="s">
        <v>59</v>
      </c>
      <c r="C98" s="2" t="s">
        <v>19</v>
      </c>
      <c r="D98" s="2" t="s">
        <v>73</v>
      </c>
      <c r="E98" s="2" t="s">
        <v>15</v>
      </c>
      <c r="F98" s="2">
        <v>-1973</v>
      </c>
      <c r="G98" s="2" t="s">
        <v>16</v>
      </c>
      <c r="H98" s="2" t="s">
        <v>62</v>
      </c>
      <c r="I98" s="2">
        <v>9</v>
      </c>
      <c r="J98" s="2"/>
      <c r="K98" s="3" t="str">
        <f>A98&amp;"|"&amp;D98&amp;"|"&amp;C98</f>
        <v>ArcelorMittal SA|Cash generated from operations (pre working cap)|FY2024</v>
      </c>
    </row>
    <row r="99" spans="1:11" ht="15" customHeight="1">
      <c r="A99" s="2" t="s">
        <v>58</v>
      </c>
      <c r="B99" s="2" t="s">
        <v>59</v>
      </c>
      <c r="C99" s="2" t="s">
        <v>19</v>
      </c>
      <c r="D99" s="2" t="s">
        <v>74</v>
      </c>
      <c r="E99" s="2" t="s">
        <v>15</v>
      </c>
      <c r="F99" s="2">
        <v>5111</v>
      </c>
      <c r="G99" s="2" t="s">
        <v>16</v>
      </c>
      <c r="H99" s="2" t="s">
        <v>62</v>
      </c>
      <c r="I99" s="2">
        <v>9</v>
      </c>
      <c r="J99" s="2"/>
      <c r="K99" s="3" t="str">
        <f>A99&amp;"|"&amp;D99&amp;"|"&amp;C99</f>
        <v>ArcelorMittal SA|Net debt position|FY2024</v>
      </c>
    </row>
    <row r="100" spans="1:11" ht="15" customHeight="1">
      <c r="A100" s="2" t="s">
        <v>58</v>
      </c>
      <c r="B100" s="2" t="s">
        <v>59</v>
      </c>
      <c r="C100" s="2" t="s">
        <v>19</v>
      </c>
      <c r="D100" s="2" t="s">
        <v>75</v>
      </c>
      <c r="E100" s="2" t="s">
        <v>39</v>
      </c>
      <c r="F100" s="2">
        <v>20</v>
      </c>
      <c r="G100" s="2" t="s">
        <v>76</v>
      </c>
      <c r="H100" s="2" t="s">
        <v>62</v>
      </c>
      <c r="I100" s="2">
        <v>9</v>
      </c>
      <c r="J100" s="2"/>
      <c r="K100" s="3" t="str">
        <f>A100&amp;"|"&amp;D100&amp;"|"&amp;C100</f>
        <v>ArcelorMittal SA|Preferential procurement spend|FY2024</v>
      </c>
    </row>
    <row r="101" spans="1:11" ht="15" customHeight="1">
      <c r="A101" s="2" t="s">
        <v>58</v>
      </c>
      <c r="B101" s="2" t="s">
        <v>59</v>
      </c>
      <c r="C101" s="2" t="s">
        <v>19</v>
      </c>
      <c r="D101" s="2" t="s">
        <v>77</v>
      </c>
      <c r="E101" s="2" t="s">
        <v>39</v>
      </c>
      <c r="F101" s="2">
        <v>8</v>
      </c>
      <c r="G101" s="2" t="s">
        <v>78</v>
      </c>
      <c r="H101" s="2" t="s">
        <v>62</v>
      </c>
      <c r="I101" s="2">
        <v>9</v>
      </c>
      <c r="J101" s="2" t="s">
        <v>79</v>
      </c>
      <c r="K101" s="3" t="str">
        <f>A101&amp;"|"&amp;D101&amp;"|"&amp;C101</f>
        <v>ArcelorMittal SA|B-BBEE compliance score|FY2024</v>
      </c>
    </row>
    <row r="102" spans="1:11" ht="15" customHeight="1">
      <c r="A102" s="2" t="s">
        <v>58</v>
      </c>
      <c r="B102" s="2" t="s">
        <v>59</v>
      </c>
      <c r="C102" s="2" t="s">
        <v>19</v>
      </c>
      <c r="D102" s="2" t="s">
        <v>80</v>
      </c>
      <c r="E102" s="2" t="s">
        <v>44</v>
      </c>
      <c r="F102" s="2">
        <v>237</v>
      </c>
      <c r="G102" s="2" t="s">
        <v>16</v>
      </c>
      <c r="H102" s="2" t="s">
        <v>62</v>
      </c>
      <c r="I102" s="2">
        <v>9</v>
      </c>
      <c r="J102" s="2"/>
      <c r="K102" s="3" t="str">
        <f>A102&amp;"|"&amp;D102&amp;"|"&amp;C102</f>
        <v>ArcelorMittal SA|Environmental spend|FY2024</v>
      </c>
    </row>
    <row r="103" spans="1:11" ht="15" customHeight="1">
      <c r="A103" s="2" t="s">
        <v>58</v>
      </c>
      <c r="B103" s="2" t="s">
        <v>59</v>
      </c>
      <c r="C103" s="2" t="s">
        <v>19</v>
      </c>
      <c r="D103" s="2" t="s">
        <v>81</v>
      </c>
      <c r="E103" s="2" t="s">
        <v>44</v>
      </c>
      <c r="F103" s="2">
        <v>3.35</v>
      </c>
      <c r="G103" s="2" t="s">
        <v>82</v>
      </c>
      <c r="H103" s="2" t="s">
        <v>62</v>
      </c>
      <c r="I103" s="2">
        <v>9</v>
      </c>
      <c r="J103" s="2"/>
      <c r="K103" s="3" t="str">
        <f>A103&amp;"|"&amp;D103&amp;"|"&amp;C103</f>
        <v>ArcelorMittal SA|CO2 emissions intensity|FY2024</v>
      </c>
    </row>
    <row r="104" spans="1:11" ht="15" customHeight="1">
      <c r="A104" s="2" t="s">
        <v>58</v>
      </c>
      <c r="B104" s="2" t="s">
        <v>59</v>
      </c>
      <c r="C104" s="2" t="s">
        <v>19</v>
      </c>
      <c r="D104" s="2" t="s">
        <v>83</v>
      </c>
      <c r="E104" s="2" t="s">
        <v>39</v>
      </c>
      <c r="F104" s="2">
        <v>4961</v>
      </c>
      <c r="G104" s="2" t="s">
        <v>16</v>
      </c>
      <c r="H104" s="2" t="s">
        <v>62</v>
      </c>
      <c r="I104" s="2">
        <v>9</v>
      </c>
      <c r="J104" s="2"/>
      <c r="K104" s="3" t="str">
        <f>A104&amp;"|"&amp;D104&amp;"|"&amp;C104</f>
        <v>ArcelorMittal SA|Total cost of employment|FY2024</v>
      </c>
    </row>
    <row r="105" spans="1:11" ht="15" customHeight="1">
      <c r="A105" s="2" t="s">
        <v>58</v>
      </c>
      <c r="B105" s="2" t="s">
        <v>59</v>
      </c>
      <c r="C105" s="2" t="s">
        <v>13</v>
      </c>
      <c r="D105" s="2" t="s">
        <v>61</v>
      </c>
      <c r="E105" s="2" t="s">
        <v>39</v>
      </c>
      <c r="F105" s="2">
        <v>1</v>
      </c>
      <c r="G105" s="2" t="s">
        <v>42</v>
      </c>
      <c r="H105" s="2" t="s">
        <v>62</v>
      </c>
      <c r="I105" s="2">
        <v>9</v>
      </c>
      <c r="J105" s="2" t="s">
        <v>63</v>
      </c>
      <c r="K105" s="3" t="str">
        <f>A105&amp;"|"&amp;D105&amp;"|"&amp;C105</f>
        <v>ArcelorMittal SA|Employee &amp; contractor fatalities|FY2025</v>
      </c>
    </row>
    <row r="106" spans="1:11" ht="15" customHeight="1">
      <c r="A106" s="2" t="s">
        <v>58</v>
      </c>
      <c r="B106" s="2" t="s">
        <v>59</v>
      </c>
      <c r="C106" s="2" t="s">
        <v>13</v>
      </c>
      <c r="D106" s="2" t="s">
        <v>64</v>
      </c>
      <c r="E106" s="2" t="s">
        <v>39</v>
      </c>
      <c r="F106" s="2">
        <v>0.62</v>
      </c>
      <c r="G106" s="2" t="s">
        <v>40</v>
      </c>
      <c r="H106" s="2" t="s">
        <v>62</v>
      </c>
      <c r="I106" s="2">
        <v>9</v>
      </c>
      <c r="J106" s="2"/>
      <c r="K106" s="3" t="str">
        <f>A106&amp;"|"&amp;D106&amp;"|"&amp;C106</f>
        <v>ArcelorMittal SA|LTIFR|FY2025</v>
      </c>
    </row>
    <row r="107" spans="1:11" ht="15" customHeight="1">
      <c r="A107" s="2" t="s">
        <v>58</v>
      </c>
      <c r="B107" s="2" t="s">
        <v>59</v>
      </c>
      <c r="C107" s="2" t="s">
        <v>13</v>
      </c>
      <c r="D107" s="2" t="s">
        <v>65</v>
      </c>
      <c r="E107" s="2" t="s">
        <v>39</v>
      </c>
      <c r="F107" s="2">
        <v>6.8</v>
      </c>
      <c r="G107" s="2" t="s">
        <v>40</v>
      </c>
      <c r="H107" s="2" t="s">
        <v>62</v>
      </c>
      <c r="I107" s="2">
        <v>9</v>
      </c>
      <c r="J107" s="2"/>
      <c r="K107" s="3" t="str">
        <f>A107&amp;"|"&amp;D107&amp;"|"&amp;C107</f>
        <v>ArcelorMittal SA|TIFR|FY2025</v>
      </c>
    </row>
    <row r="108" spans="1:11" ht="15" customHeight="1">
      <c r="A108" s="2" t="s">
        <v>58</v>
      </c>
      <c r="B108" s="2" t="s">
        <v>59</v>
      </c>
      <c r="C108" s="2" t="s">
        <v>13</v>
      </c>
      <c r="D108" s="2" t="s">
        <v>66</v>
      </c>
      <c r="E108" s="2" t="s">
        <v>15</v>
      </c>
      <c r="F108" s="2">
        <v>-546</v>
      </c>
      <c r="G108" s="2" t="s">
        <v>67</v>
      </c>
      <c r="H108" s="2" t="s">
        <v>62</v>
      </c>
      <c r="I108" s="2">
        <v>9</v>
      </c>
      <c r="J108" s="2"/>
      <c r="K108" s="3" t="str">
        <f>A108&amp;"|"&amp;D108&amp;"|"&amp;C108</f>
        <v>ArcelorMittal SA|EBITDA per tonne sold|FY2025</v>
      </c>
    </row>
    <row r="109" spans="1:11" ht="15" customHeight="1">
      <c r="A109" s="2" t="s">
        <v>58</v>
      </c>
      <c r="B109" s="2" t="s">
        <v>59</v>
      </c>
      <c r="C109" s="2" t="s">
        <v>13</v>
      </c>
      <c r="D109" s="2" t="s">
        <v>68</v>
      </c>
      <c r="E109" s="2" t="s">
        <v>15</v>
      </c>
      <c r="F109" s="2">
        <v>-16.07</v>
      </c>
      <c r="G109" s="2" t="s">
        <v>23</v>
      </c>
      <c r="H109" s="2" t="s">
        <v>62</v>
      </c>
      <c r="I109" s="2">
        <v>9</v>
      </c>
      <c r="J109" s="2"/>
      <c r="K109" s="3" t="str">
        <f>A109&amp;"|"&amp;D109&amp;"|"&amp;C109</f>
        <v>ArcelorMittal SA|Return on capital employed|FY2025</v>
      </c>
    </row>
    <row r="110" spans="1:11" ht="15" customHeight="1">
      <c r="A110" s="2" t="s">
        <v>58</v>
      </c>
      <c r="B110" s="2" t="s">
        <v>59</v>
      </c>
      <c r="C110" s="2" t="s">
        <v>13</v>
      </c>
      <c r="D110" s="2" t="s">
        <v>69</v>
      </c>
      <c r="E110" s="2" t="s">
        <v>15</v>
      </c>
      <c r="F110" s="2">
        <v>46</v>
      </c>
      <c r="G110" s="2" t="s">
        <v>23</v>
      </c>
      <c r="H110" s="2" t="s">
        <v>62</v>
      </c>
      <c r="I110" s="2">
        <v>9</v>
      </c>
      <c r="J110" s="2"/>
      <c r="K110" s="3" t="str">
        <f>A110&amp;"|"&amp;D110&amp;"|"&amp;C110</f>
        <v>ArcelorMittal SA|Steel market share|FY2025</v>
      </c>
    </row>
    <row r="111" spans="1:11" ht="15" customHeight="1">
      <c r="A111" s="2" t="s">
        <v>58</v>
      </c>
      <c r="B111" s="2" t="s">
        <v>59</v>
      </c>
      <c r="C111" s="2" t="s">
        <v>13</v>
      </c>
      <c r="D111" s="2" t="s">
        <v>70</v>
      </c>
      <c r="E111" s="2" t="s">
        <v>71</v>
      </c>
      <c r="F111" s="2">
        <v>2270</v>
      </c>
      <c r="G111" s="2" t="s">
        <v>72</v>
      </c>
      <c r="H111" s="2" t="s">
        <v>62</v>
      </c>
      <c r="I111" s="2">
        <v>9</v>
      </c>
      <c r="J111" s="2"/>
      <c r="K111" s="3" t="str">
        <f>A111&amp;"|"&amp;D111&amp;"|"&amp;C111</f>
        <v>ArcelorMittal SA|Crude steel production|FY2025</v>
      </c>
    </row>
    <row r="112" spans="1:11" ht="15" customHeight="1">
      <c r="A112" s="2" t="s">
        <v>58</v>
      </c>
      <c r="B112" s="2" t="s">
        <v>59</v>
      </c>
      <c r="C112" s="2" t="s">
        <v>13</v>
      </c>
      <c r="D112" s="2" t="s">
        <v>73</v>
      </c>
      <c r="E112" s="2" t="s">
        <v>15</v>
      </c>
      <c r="F112" s="2">
        <v>-1966</v>
      </c>
      <c r="G112" s="2" t="s">
        <v>16</v>
      </c>
      <c r="H112" s="2" t="s">
        <v>62</v>
      </c>
      <c r="I112" s="2">
        <v>9</v>
      </c>
      <c r="J112" s="2"/>
      <c r="K112" s="3" t="str">
        <f>A112&amp;"|"&amp;D112&amp;"|"&amp;C112</f>
        <v>ArcelorMittal SA|Cash generated from operations (pre working cap)|FY2025</v>
      </c>
    </row>
    <row r="113" spans="1:11" ht="15" customHeight="1">
      <c r="A113" s="2" t="s">
        <v>58</v>
      </c>
      <c r="B113" s="2" t="s">
        <v>59</v>
      </c>
      <c r="C113" s="2" t="s">
        <v>13</v>
      </c>
      <c r="D113" s="2" t="s">
        <v>74</v>
      </c>
      <c r="E113" s="2" t="s">
        <v>15</v>
      </c>
      <c r="F113" s="2">
        <v>6763</v>
      </c>
      <c r="G113" s="2" t="s">
        <v>16</v>
      </c>
      <c r="H113" s="2" t="s">
        <v>62</v>
      </c>
      <c r="I113" s="2">
        <v>9</v>
      </c>
      <c r="J113" s="2"/>
      <c r="K113" s="3" t="str">
        <f>A113&amp;"|"&amp;D113&amp;"|"&amp;C113</f>
        <v>ArcelorMittal SA|Net debt position|FY2025</v>
      </c>
    </row>
    <row r="114" spans="1:11" ht="15" customHeight="1">
      <c r="A114" s="2" t="s">
        <v>58</v>
      </c>
      <c r="B114" s="2" t="s">
        <v>59</v>
      </c>
      <c r="C114" s="2" t="s">
        <v>13</v>
      </c>
      <c r="D114" s="2" t="s">
        <v>75</v>
      </c>
      <c r="E114" s="2" t="s">
        <v>39</v>
      </c>
      <c r="F114" s="2">
        <v>22.1</v>
      </c>
      <c r="G114" s="2" t="s">
        <v>76</v>
      </c>
      <c r="H114" s="2" t="s">
        <v>62</v>
      </c>
      <c r="I114" s="2">
        <v>9</v>
      </c>
      <c r="J114" s="2"/>
      <c r="K114" s="3" t="str">
        <f>A114&amp;"|"&amp;D114&amp;"|"&amp;C114</f>
        <v>ArcelorMittal SA|Preferential procurement spend|FY2025</v>
      </c>
    </row>
    <row r="115" spans="1:11" ht="15" customHeight="1">
      <c r="A115" s="2" t="s">
        <v>58</v>
      </c>
      <c r="B115" s="2" t="s">
        <v>59</v>
      </c>
      <c r="C115" s="2" t="s">
        <v>13</v>
      </c>
      <c r="D115" s="2" t="s">
        <v>77</v>
      </c>
      <c r="E115" s="2" t="s">
        <v>39</v>
      </c>
      <c r="F115" s="2">
        <v>4</v>
      </c>
      <c r="G115" s="2" t="s">
        <v>78</v>
      </c>
      <c r="H115" s="2" t="s">
        <v>62</v>
      </c>
      <c r="I115" s="2">
        <v>9</v>
      </c>
      <c r="J115" s="2" t="s">
        <v>79</v>
      </c>
      <c r="K115" s="3" t="str">
        <f>A115&amp;"|"&amp;D115&amp;"|"&amp;C115</f>
        <v>ArcelorMittal SA|B-BBEE compliance score|FY2025</v>
      </c>
    </row>
    <row r="116" spans="1:11" ht="15" customHeight="1">
      <c r="A116" s="2" t="s">
        <v>58</v>
      </c>
      <c r="B116" s="2" t="s">
        <v>59</v>
      </c>
      <c r="C116" s="2" t="s">
        <v>13</v>
      </c>
      <c r="D116" s="2" t="s">
        <v>80</v>
      </c>
      <c r="E116" s="2" t="s">
        <v>44</v>
      </c>
      <c r="F116" s="2">
        <v>70</v>
      </c>
      <c r="G116" s="2" t="s">
        <v>16</v>
      </c>
      <c r="H116" s="2" t="s">
        <v>62</v>
      </c>
      <c r="I116" s="2">
        <v>9</v>
      </c>
      <c r="J116" s="2"/>
      <c r="K116" s="3" t="str">
        <f>A116&amp;"|"&amp;D116&amp;"|"&amp;C116</f>
        <v>ArcelorMittal SA|Environmental spend|FY2025</v>
      </c>
    </row>
    <row r="117" spans="1:11" ht="15" customHeight="1">
      <c r="A117" s="2" t="s">
        <v>58</v>
      </c>
      <c r="B117" s="2" t="s">
        <v>59</v>
      </c>
      <c r="C117" s="2" t="s">
        <v>13</v>
      </c>
      <c r="D117" s="2" t="s">
        <v>81</v>
      </c>
      <c r="E117" s="2" t="s">
        <v>44</v>
      </c>
      <c r="F117" s="2">
        <v>3.26</v>
      </c>
      <c r="G117" s="2" t="s">
        <v>82</v>
      </c>
      <c r="H117" s="2" t="s">
        <v>62</v>
      </c>
      <c r="I117" s="2">
        <v>9</v>
      </c>
      <c r="J117" s="2"/>
      <c r="K117" s="3" t="str">
        <f>A117&amp;"|"&amp;D117&amp;"|"&amp;C117</f>
        <v>ArcelorMittal SA|CO2 emissions intensity|FY2025</v>
      </c>
    </row>
    <row r="118" spans="1:11" ht="15" customHeight="1">
      <c r="A118" s="2" t="s">
        <v>58</v>
      </c>
      <c r="B118" s="2" t="s">
        <v>59</v>
      </c>
      <c r="C118" s="2" t="s">
        <v>13</v>
      </c>
      <c r="D118" s="2" t="s">
        <v>83</v>
      </c>
      <c r="E118" s="2" t="s">
        <v>39</v>
      </c>
      <c r="F118" s="2">
        <v>4918</v>
      </c>
      <c r="G118" s="2" t="s">
        <v>16</v>
      </c>
      <c r="H118" s="2" t="s">
        <v>62</v>
      </c>
      <c r="I118" s="2">
        <v>9</v>
      </c>
      <c r="J118" s="2"/>
      <c r="K118" s="3" t="str">
        <f>A118&amp;"|"&amp;D118&amp;"|"&amp;C118</f>
        <v>ArcelorMittal SA|Total cost of employment|FY2025</v>
      </c>
    </row>
    <row r="119" spans="1:11" ht="15" customHeight="1">
      <c r="A119" s="2" t="s">
        <v>84</v>
      </c>
      <c r="B119" s="2" t="s">
        <v>85</v>
      </c>
      <c r="C119" s="2" t="s">
        <v>60</v>
      </c>
      <c r="D119" s="2" t="s">
        <v>14</v>
      </c>
      <c r="E119" s="2" t="s">
        <v>15</v>
      </c>
      <c r="F119" s="2">
        <v>16436</v>
      </c>
      <c r="G119" s="2" t="s">
        <v>16</v>
      </c>
      <c r="H119" s="2" t="s">
        <v>86</v>
      </c>
      <c r="I119" s="2">
        <v>49</v>
      </c>
      <c r="J119" s="2" t="s">
        <v>87</v>
      </c>
      <c r="K119" s="3" t="str">
        <f>A119&amp;"|"&amp;D119&amp;"|"&amp;C119</f>
        <v>Omnia|Revenue|FY2021</v>
      </c>
    </row>
    <row r="120" spans="1:11" ht="23.25" customHeight="1">
      <c r="A120" s="2" t="s">
        <v>84</v>
      </c>
      <c r="B120" s="2" t="s">
        <v>85</v>
      </c>
      <c r="C120" s="2" t="s">
        <v>60</v>
      </c>
      <c r="D120" s="2" t="s">
        <v>88</v>
      </c>
      <c r="E120" s="2" t="s">
        <v>15</v>
      </c>
      <c r="F120" s="2">
        <v>1138</v>
      </c>
      <c r="G120" s="2" t="s">
        <v>16</v>
      </c>
      <c r="H120" s="2" t="s">
        <v>86</v>
      </c>
      <c r="I120" s="2">
        <v>49</v>
      </c>
      <c r="J120" s="2" t="s">
        <v>87</v>
      </c>
      <c r="K120" s="3" t="str">
        <f>A120&amp;"|"&amp;D120&amp;"|"&amp;C120</f>
        <v>Omnia|Operating profit|FY2021</v>
      </c>
    </row>
    <row r="121" spans="1:11" ht="23.25" customHeight="1">
      <c r="A121" s="2" t="s">
        <v>84</v>
      </c>
      <c r="B121" s="2" t="s">
        <v>85</v>
      </c>
      <c r="C121" s="2" t="s">
        <v>60</v>
      </c>
      <c r="D121" s="2" t="s">
        <v>89</v>
      </c>
      <c r="E121" s="2" t="s">
        <v>15</v>
      </c>
      <c r="F121" s="2">
        <v>364</v>
      </c>
      <c r="G121" s="2" t="s">
        <v>25</v>
      </c>
      <c r="H121" s="2" t="s">
        <v>86</v>
      </c>
      <c r="I121" s="2">
        <v>49</v>
      </c>
      <c r="J121" s="2" t="s">
        <v>87</v>
      </c>
      <c r="K121" s="3" t="str">
        <f>A121&amp;"|"&amp;D121&amp;"|"&amp;C121</f>
        <v>Omnia|Basic earnings per share|FY2021</v>
      </c>
    </row>
    <row r="122" spans="1:11" ht="23.25" customHeight="1">
      <c r="A122" s="2" t="s">
        <v>84</v>
      </c>
      <c r="B122" s="2" t="s">
        <v>85</v>
      </c>
      <c r="C122" s="2" t="s">
        <v>60</v>
      </c>
      <c r="D122" s="2" t="s">
        <v>90</v>
      </c>
      <c r="E122" s="2" t="s">
        <v>15</v>
      </c>
      <c r="F122" s="2">
        <v>361</v>
      </c>
      <c r="G122" s="2" t="s">
        <v>25</v>
      </c>
      <c r="H122" s="2" t="s">
        <v>86</v>
      </c>
      <c r="I122" s="2">
        <v>49</v>
      </c>
      <c r="J122" s="2" t="s">
        <v>87</v>
      </c>
      <c r="K122" s="3" t="str">
        <f>A122&amp;"|"&amp;D122&amp;"|"&amp;C122</f>
        <v>Omnia|Headline earnings per share|FY2021</v>
      </c>
    </row>
    <row r="123" spans="1:11" ht="23.25" customHeight="1">
      <c r="A123" s="2" t="s">
        <v>84</v>
      </c>
      <c r="B123" s="2" t="s">
        <v>85</v>
      </c>
      <c r="C123" s="2" t="s">
        <v>31</v>
      </c>
      <c r="D123" s="2" t="s">
        <v>14</v>
      </c>
      <c r="E123" s="2" t="s">
        <v>15</v>
      </c>
      <c r="F123" s="2">
        <v>21437</v>
      </c>
      <c r="G123" s="2" t="s">
        <v>16</v>
      </c>
      <c r="H123" s="2" t="s">
        <v>86</v>
      </c>
      <c r="I123" s="2">
        <v>49</v>
      </c>
      <c r="J123" s="2" t="s">
        <v>87</v>
      </c>
      <c r="K123" s="3" t="str">
        <f>A123&amp;"|"&amp;D123&amp;"|"&amp;C123</f>
        <v>Omnia|Revenue|FY2022</v>
      </c>
    </row>
    <row r="124" spans="1:11" ht="23.25" customHeight="1">
      <c r="A124" s="2" t="s">
        <v>84</v>
      </c>
      <c r="B124" s="2" t="s">
        <v>85</v>
      </c>
      <c r="C124" s="2" t="s">
        <v>31</v>
      </c>
      <c r="D124" s="2" t="s">
        <v>88</v>
      </c>
      <c r="E124" s="2" t="s">
        <v>15</v>
      </c>
      <c r="F124" s="2">
        <v>1597</v>
      </c>
      <c r="G124" s="2" t="s">
        <v>16</v>
      </c>
      <c r="H124" s="2" t="s">
        <v>86</v>
      </c>
      <c r="I124" s="2">
        <v>49</v>
      </c>
      <c r="J124" s="2" t="s">
        <v>87</v>
      </c>
      <c r="K124" s="3" t="str">
        <f>A124&amp;"|"&amp;D124&amp;"|"&amp;C124</f>
        <v>Omnia|Operating profit|FY2022</v>
      </c>
    </row>
    <row r="125" spans="1:11" ht="23.25" customHeight="1">
      <c r="A125" s="2" t="s">
        <v>84</v>
      </c>
      <c r="B125" s="2" t="s">
        <v>85</v>
      </c>
      <c r="C125" s="2" t="s">
        <v>31</v>
      </c>
      <c r="D125" s="2" t="s">
        <v>89</v>
      </c>
      <c r="E125" s="2" t="s">
        <v>15</v>
      </c>
      <c r="F125" s="2">
        <v>653</v>
      </c>
      <c r="G125" s="2" t="s">
        <v>25</v>
      </c>
      <c r="H125" s="2" t="s">
        <v>86</v>
      </c>
      <c r="I125" s="2">
        <v>49</v>
      </c>
      <c r="J125" s="2" t="s">
        <v>87</v>
      </c>
      <c r="K125" s="3" t="str">
        <f>A125&amp;"|"&amp;D125&amp;"|"&amp;C125</f>
        <v>Omnia|Basic earnings per share|FY2022</v>
      </c>
    </row>
    <row r="126" spans="1:11" ht="23.25" customHeight="1">
      <c r="A126" s="2" t="s">
        <v>84</v>
      </c>
      <c r="B126" s="2" t="s">
        <v>85</v>
      </c>
      <c r="C126" s="2" t="s">
        <v>31</v>
      </c>
      <c r="D126" s="2" t="s">
        <v>90</v>
      </c>
      <c r="E126" s="2" t="s">
        <v>15</v>
      </c>
      <c r="F126" s="2">
        <v>672</v>
      </c>
      <c r="G126" s="2" t="s">
        <v>25</v>
      </c>
      <c r="H126" s="2" t="s">
        <v>86</v>
      </c>
      <c r="I126" s="2">
        <v>49</v>
      </c>
      <c r="J126" s="2" t="s">
        <v>87</v>
      </c>
      <c r="K126" s="3" t="str">
        <f>A126&amp;"|"&amp;D126&amp;"|"&amp;C126</f>
        <v>Omnia|Headline earnings per share|FY2022</v>
      </c>
    </row>
    <row r="127" spans="1:11" ht="23.25" customHeight="1">
      <c r="A127" s="2" t="s">
        <v>84</v>
      </c>
      <c r="B127" s="2" t="s">
        <v>85</v>
      </c>
      <c r="C127" s="2" t="s">
        <v>34</v>
      </c>
      <c r="D127" s="2" t="s">
        <v>14</v>
      </c>
      <c r="E127" s="2" t="s">
        <v>15</v>
      </c>
      <c r="F127" s="2">
        <v>26572</v>
      </c>
      <c r="G127" s="2" t="s">
        <v>16</v>
      </c>
      <c r="H127" s="2" t="s">
        <v>86</v>
      </c>
      <c r="I127" s="2">
        <v>49</v>
      </c>
      <c r="J127" s="2"/>
      <c r="K127" s="3" t="str">
        <f>A127&amp;"|"&amp;D127&amp;"|"&amp;C127</f>
        <v>Omnia|Revenue|FY2023</v>
      </c>
    </row>
    <row r="128" spans="1:11" ht="23.25" customHeight="1">
      <c r="A128" s="2" t="s">
        <v>84</v>
      </c>
      <c r="B128" s="2" t="s">
        <v>85</v>
      </c>
      <c r="C128" s="2" t="s">
        <v>34</v>
      </c>
      <c r="D128" s="2" t="s">
        <v>88</v>
      </c>
      <c r="E128" s="2" t="s">
        <v>15</v>
      </c>
      <c r="F128" s="2">
        <v>1899</v>
      </c>
      <c r="G128" s="2" t="s">
        <v>16</v>
      </c>
      <c r="H128" s="2" t="s">
        <v>86</v>
      </c>
      <c r="I128" s="2">
        <v>49</v>
      </c>
      <c r="J128" s="2"/>
      <c r="K128" s="3" t="str">
        <f>A128&amp;"|"&amp;D128&amp;"|"&amp;C128</f>
        <v>Omnia|Operating profit|FY2023</v>
      </c>
    </row>
    <row r="129" spans="1:11" ht="23.25" customHeight="1">
      <c r="A129" s="2" t="s">
        <v>84</v>
      </c>
      <c r="B129" s="2" t="s">
        <v>85</v>
      </c>
      <c r="C129" s="2" t="s">
        <v>34</v>
      </c>
      <c r="D129" s="2" t="s">
        <v>89</v>
      </c>
      <c r="E129" s="2" t="s">
        <v>15</v>
      </c>
      <c r="F129" s="2">
        <v>692</v>
      </c>
      <c r="G129" s="2" t="s">
        <v>25</v>
      </c>
      <c r="H129" s="2" t="s">
        <v>86</v>
      </c>
      <c r="I129" s="2">
        <v>49</v>
      </c>
      <c r="J129" s="2"/>
      <c r="K129" s="3" t="str">
        <f>A129&amp;"|"&amp;D129&amp;"|"&amp;C129</f>
        <v>Omnia|Basic earnings per share|FY2023</v>
      </c>
    </row>
    <row r="130" spans="1:11" ht="23.25" customHeight="1">
      <c r="A130" s="2" t="s">
        <v>84</v>
      </c>
      <c r="B130" s="2" t="s">
        <v>85</v>
      </c>
      <c r="C130" s="2" t="s">
        <v>34</v>
      </c>
      <c r="D130" s="2" t="s">
        <v>90</v>
      </c>
      <c r="E130" s="2" t="s">
        <v>15</v>
      </c>
      <c r="F130" s="2">
        <v>742</v>
      </c>
      <c r="G130" s="2" t="s">
        <v>25</v>
      </c>
      <c r="H130" s="2" t="s">
        <v>86</v>
      </c>
      <c r="I130" s="2">
        <v>49</v>
      </c>
      <c r="J130" s="2"/>
      <c r="K130" s="3" t="str">
        <f>A130&amp;"|"&amp;D130&amp;"|"&amp;C130</f>
        <v>Omnia|Headline earnings per share|FY2023</v>
      </c>
    </row>
    <row r="131" spans="1:11" ht="23.25" customHeight="1">
      <c r="A131" s="2" t="s">
        <v>84</v>
      </c>
      <c r="B131" s="2" t="s">
        <v>85</v>
      </c>
      <c r="C131" s="2" t="s">
        <v>19</v>
      </c>
      <c r="D131" s="2" t="s">
        <v>14</v>
      </c>
      <c r="E131" s="2" t="s">
        <v>15</v>
      </c>
      <c r="F131" s="2">
        <v>22219</v>
      </c>
      <c r="G131" s="2" t="s">
        <v>16</v>
      </c>
      <c r="H131" s="2" t="s">
        <v>86</v>
      </c>
      <c r="I131" s="2">
        <v>49</v>
      </c>
      <c r="J131" s="2"/>
      <c r="K131" s="3" t="str">
        <f>A131&amp;"|"&amp;D131&amp;"|"&amp;C131</f>
        <v>Omnia|Revenue|FY2024</v>
      </c>
    </row>
    <row r="132" spans="1:11" ht="23.25" customHeight="1">
      <c r="A132" s="2" t="s">
        <v>84</v>
      </c>
      <c r="B132" s="2" t="s">
        <v>85</v>
      </c>
      <c r="C132" s="2" t="s">
        <v>19</v>
      </c>
      <c r="D132" s="2" t="s">
        <v>88</v>
      </c>
      <c r="E132" s="2" t="s">
        <v>15</v>
      </c>
      <c r="F132" s="2">
        <v>1703</v>
      </c>
      <c r="G132" s="2" t="s">
        <v>16</v>
      </c>
      <c r="H132" s="2" t="s">
        <v>86</v>
      </c>
      <c r="I132" s="2">
        <v>49</v>
      </c>
      <c r="J132" s="2"/>
      <c r="K132" s="3" t="str">
        <f>A132&amp;"|"&amp;D132&amp;"|"&amp;C132</f>
        <v>Omnia|Operating profit|FY2024</v>
      </c>
    </row>
    <row r="133" spans="1:11" ht="23.25" customHeight="1">
      <c r="A133" s="2" t="s">
        <v>84</v>
      </c>
      <c r="B133" s="2" t="s">
        <v>85</v>
      </c>
      <c r="C133" s="2" t="s">
        <v>19</v>
      </c>
      <c r="D133" s="2" t="s">
        <v>89</v>
      </c>
      <c r="E133" s="2" t="s">
        <v>15</v>
      </c>
      <c r="F133" s="2">
        <v>705</v>
      </c>
      <c r="G133" s="2" t="s">
        <v>25</v>
      </c>
      <c r="H133" s="2" t="s">
        <v>86</v>
      </c>
      <c r="I133" s="2">
        <v>49</v>
      </c>
      <c r="J133" s="2"/>
      <c r="K133" s="3" t="str">
        <f>A133&amp;"|"&amp;D133&amp;"|"&amp;C133</f>
        <v>Omnia|Basic earnings per share|FY2024</v>
      </c>
    </row>
    <row r="134" spans="1:11" ht="23.25" customHeight="1">
      <c r="A134" s="2" t="s">
        <v>84</v>
      </c>
      <c r="B134" s="2" t="s">
        <v>85</v>
      </c>
      <c r="C134" s="2" t="s">
        <v>19</v>
      </c>
      <c r="D134" s="2" t="s">
        <v>90</v>
      </c>
      <c r="E134" s="2" t="s">
        <v>15</v>
      </c>
      <c r="F134" s="2">
        <v>699</v>
      </c>
      <c r="G134" s="2" t="s">
        <v>25</v>
      </c>
      <c r="H134" s="2" t="s">
        <v>86</v>
      </c>
      <c r="I134" s="2">
        <v>49</v>
      </c>
      <c r="J134" s="2"/>
      <c r="K134" s="3" t="str">
        <f>A134&amp;"|"&amp;D134&amp;"|"&amp;C134</f>
        <v>Omnia|Headline earnings per share|FY2024</v>
      </c>
    </row>
    <row r="135" spans="1:11" ht="23.25" customHeight="1">
      <c r="A135" s="2" t="s">
        <v>84</v>
      </c>
      <c r="B135" s="2" t="s">
        <v>85</v>
      </c>
      <c r="C135" s="2" t="s">
        <v>13</v>
      </c>
      <c r="D135" s="2" t="s">
        <v>14</v>
      </c>
      <c r="E135" s="2" t="s">
        <v>15</v>
      </c>
      <c r="F135" s="2">
        <v>22818</v>
      </c>
      <c r="G135" s="2" t="s">
        <v>16</v>
      </c>
      <c r="H135" s="2" t="s">
        <v>86</v>
      </c>
      <c r="I135" s="2">
        <v>49</v>
      </c>
      <c r="J135" s="2"/>
      <c r="K135" s="3" t="str">
        <f>A135&amp;"|"&amp;D135&amp;"|"&amp;C135</f>
        <v>Omnia|Revenue|FY2025</v>
      </c>
    </row>
    <row r="136" spans="1:11" ht="23.25" customHeight="1">
      <c r="A136" s="2" t="s">
        <v>84</v>
      </c>
      <c r="B136" s="2" t="s">
        <v>85</v>
      </c>
      <c r="C136" s="2" t="s">
        <v>13</v>
      </c>
      <c r="D136" s="2" t="s">
        <v>88</v>
      </c>
      <c r="E136" s="2" t="s">
        <v>15</v>
      </c>
      <c r="F136" s="2">
        <v>1698</v>
      </c>
      <c r="G136" s="2" t="s">
        <v>16</v>
      </c>
      <c r="H136" s="2" t="s">
        <v>86</v>
      </c>
      <c r="I136" s="2">
        <v>49</v>
      </c>
      <c r="J136" s="2"/>
      <c r="K136" s="3" t="str">
        <f>A136&amp;"|"&amp;D136&amp;"|"&amp;C136</f>
        <v>Omnia|Operating profit|FY2025</v>
      </c>
    </row>
    <row r="137" spans="1:11" ht="23.25" customHeight="1">
      <c r="A137" s="2" t="s">
        <v>84</v>
      </c>
      <c r="B137" s="2" t="s">
        <v>85</v>
      </c>
      <c r="C137" s="2" t="s">
        <v>13</v>
      </c>
      <c r="D137" s="2" t="s">
        <v>89</v>
      </c>
      <c r="E137" s="2" t="s">
        <v>15</v>
      </c>
      <c r="F137" s="2">
        <v>692</v>
      </c>
      <c r="G137" s="2" t="s">
        <v>25</v>
      </c>
      <c r="H137" s="2" t="s">
        <v>86</v>
      </c>
      <c r="I137" s="2">
        <v>49</v>
      </c>
      <c r="J137" s="2"/>
      <c r="K137" s="3" t="str">
        <f>A137&amp;"|"&amp;D137&amp;"|"&amp;C137</f>
        <v>Omnia|Basic earnings per share|FY2025</v>
      </c>
    </row>
    <row r="138" spans="1:11" ht="23.25" customHeight="1">
      <c r="A138" s="2" t="s">
        <v>84</v>
      </c>
      <c r="B138" s="2" t="s">
        <v>85</v>
      </c>
      <c r="C138" s="2" t="s">
        <v>13</v>
      </c>
      <c r="D138" s="2" t="s">
        <v>90</v>
      </c>
      <c r="E138" s="2" t="s">
        <v>15</v>
      </c>
      <c r="F138" s="2">
        <v>704</v>
      </c>
      <c r="G138" s="2" t="s">
        <v>25</v>
      </c>
      <c r="H138" s="2" t="s">
        <v>86</v>
      </c>
      <c r="I138" s="2">
        <v>49</v>
      </c>
      <c r="J138" s="2"/>
      <c r="K138" s="3" t="str">
        <f>A138&amp;"|"&amp;D138&amp;"|"&amp;C138</f>
        <v>Omnia|Headline earnings per share|FY2025</v>
      </c>
    </row>
    <row r="139" spans="1:11" ht="23.25" customHeight="1">
      <c r="A139" s="2" t="s">
        <v>84</v>
      </c>
      <c r="B139" s="2" t="s">
        <v>85</v>
      </c>
      <c r="C139" s="2" t="s">
        <v>60</v>
      </c>
      <c r="D139" s="2" t="s">
        <v>43</v>
      </c>
      <c r="E139" s="2" t="s">
        <v>44</v>
      </c>
      <c r="F139" s="2">
        <v>178139</v>
      </c>
      <c r="G139" s="2" t="s">
        <v>91</v>
      </c>
      <c r="H139" s="2" t="s">
        <v>86</v>
      </c>
      <c r="I139" s="2">
        <v>74</v>
      </c>
      <c r="J139" s="2" t="s">
        <v>92</v>
      </c>
      <c r="K139" s="3" t="str">
        <f>A139&amp;"|"&amp;D139&amp;"|"&amp;C139</f>
        <v>Omnia|Scope 1 GHG emissions|FY2021</v>
      </c>
    </row>
    <row r="140" spans="1:11" ht="23.25" customHeight="1">
      <c r="A140" s="2" t="s">
        <v>84</v>
      </c>
      <c r="B140" s="2" t="s">
        <v>85</v>
      </c>
      <c r="C140" s="2" t="s">
        <v>60</v>
      </c>
      <c r="D140" s="2" t="s">
        <v>46</v>
      </c>
      <c r="E140" s="2" t="s">
        <v>44</v>
      </c>
      <c r="F140" s="2">
        <v>83361</v>
      </c>
      <c r="G140" s="2" t="s">
        <v>91</v>
      </c>
      <c r="H140" s="2" t="s">
        <v>86</v>
      </c>
      <c r="I140" s="2">
        <v>74</v>
      </c>
      <c r="J140" s="2"/>
      <c r="K140" s="3" t="str">
        <f>A140&amp;"|"&amp;D140&amp;"|"&amp;C140</f>
        <v>Omnia|Scope 2 GHG emissions|FY2021</v>
      </c>
    </row>
    <row r="141" spans="1:11" ht="23.25" customHeight="1">
      <c r="A141" s="2" t="s">
        <v>84</v>
      </c>
      <c r="B141" s="2" t="s">
        <v>85</v>
      </c>
      <c r="C141" s="2" t="s">
        <v>31</v>
      </c>
      <c r="D141" s="2" t="s">
        <v>43</v>
      </c>
      <c r="E141" s="2" t="s">
        <v>44</v>
      </c>
      <c r="F141" s="2">
        <v>252803</v>
      </c>
      <c r="G141" s="2" t="s">
        <v>91</v>
      </c>
      <c r="H141" s="2" t="s">
        <v>86</v>
      </c>
      <c r="I141" s="2">
        <v>74</v>
      </c>
      <c r="J141" s="2" t="s">
        <v>92</v>
      </c>
      <c r="K141" s="3" t="str">
        <f>A141&amp;"|"&amp;D141&amp;"|"&amp;C141</f>
        <v>Omnia|Scope 1 GHG emissions|FY2022</v>
      </c>
    </row>
    <row r="142" spans="1:11" ht="23.25" customHeight="1">
      <c r="A142" s="2" t="s">
        <v>84</v>
      </c>
      <c r="B142" s="2" t="s">
        <v>85</v>
      </c>
      <c r="C142" s="2" t="s">
        <v>31</v>
      </c>
      <c r="D142" s="2" t="s">
        <v>46</v>
      </c>
      <c r="E142" s="2" t="s">
        <v>44</v>
      </c>
      <c r="F142" s="2">
        <v>84105</v>
      </c>
      <c r="G142" s="2" t="s">
        <v>91</v>
      </c>
      <c r="H142" s="2" t="s">
        <v>86</v>
      </c>
      <c r="I142" s="2">
        <v>74</v>
      </c>
      <c r="J142" s="2"/>
      <c r="K142" s="3" t="str">
        <f>A142&amp;"|"&amp;D142&amp;"|"&amp;C142</f>
        <v>Omnia|Scope 2 GHG emissions|FY2022</v>
      </c>
    </row>
    <row r="143" spans="1:11" ht="23.25" customHeight="1">
      <c r="A143" s="2" t="s">
        <v>84</v>
      </c>
      <c r="B143" s="2" t="s">
        <v>85</v>
      </c>
      <c r="C143" s="2" t="s">
        <v>34</v>
      </c>
      <c r="D143" s="2" t="s">
        <v>43</v>
      </c>
      <c r="E143" s="2" t="s">
        <v>44</v>
      </c>
      <c r="F143" s="2">
        <v>110774</v>
      </c>
      <c r="G143" s="2" t="s">
        <v>91</v>
      </c>
      <c r="H143" s="2" t="s">
        <v>86</v>
      </c>
      <c r="I143" s="2">
        <v>74</v>
      </c>
      <c r="J143" s="2" t="s">
        <v>92</v>
      </c>
      <c r="K143" s="3" t="str">
        <f>A143&amp;"|"&amp;D143&amp;"|"&amp;C143</f>
        <v>Omnia|Scope 1 GHG emissions|FY2023</v>
      </c>
    </row>
    <row r="144" spans="1:11" ht="23.25" customHeight="1">
      <c r="A144" s="2" t="s">
        <v>84</v>
      </c>
      <c r="B144" s="2" t="s">
        <v>85</v>
      </c>
      <c r="C144" s="2" t="s">
        <v>34</v>
      </c>
      <c r="D144" s="2" t="s">
        <v>46</v>
      </c>
      <c r="E144" s="2" t="s">
        <v>44</v>
      </c>
      <c r="F144" s="2">
        <v>76828</v>
      </c>
      <c r="G144" s="2" t="s">
        <v>91</v>
      </c>
      <c r="H144" s="2" t="s">
        <v>86</v>
      </c>
      <c r="I144" s="2">
        <v>74</v>
      </c>
      <c r="J144" s="2"/>
      <c r="K144" s="3" t="str">
        <f>A144&amp;"|"&amp;D144&amp;"|"&amp;C144</f>
        <v>Omnia|Scope 2 GHG emissions|FY2023</v>
      </c>
    </row>
    <row r="145" spans="1:11" ht="23.25" customHeight="1">
      <c r="A145" s="2" t="s">
        <v>84</v>
      </c>
      <c r="B145" s="2" t="s">
        <v>85</v>
      </c>
      <c r="C145" s="2" t="s">
        <v>19</v>
      </c>
      <c r="D145" s="2" t="s">
        <v>43</v>
      </c>
      <c r="E145" s="2" t="s">
        <v>44</v>
      </c>
      <c r="F145" s="2">
        <v>81716</v>
      </c>
      <c r="G145" s="2" t="s">
        <v>91</v>
      </c>
      <c r="H145" s="2" t="s">
        <v>86</v>
      </c>
      <c r="I145" s="2">
        <v>74</v>
      </c>
      <c r="J145" s="2" t="s">
        <v>92</v>
      </c>
      <c r="K145" s="3" t="str">
        <f>A145&amp;"|"&amp;D145&amp;"|"&amp;C145</f>
        <v>Omnia|Scope 1 GHG emissions|FY2024</v>
      </c>
    </row>
    <row r="146" spans="1:11" ht="23.25" customHeight="1">
      <c r="A146" s="2" t="s">
        <v>84</v>
      </c>
      <c r="B146" s="2" t="s">
        <v>85</v>
      </c>
      <c r="C146" s="2" t="s">
        <v>19</v>
      </c>
      <c r="D146" s="2" t="s">
        <v>46</v>
      </c>
      <c r="E146" s="2" t="s">
        <v>44</v>
      </c>
      <c r="F146" s="2">
        <v>75043</v>
      </c>
      <c r="G146" s="2" t="s">
        <v>91</v>
      </c>
      <c r="H146" s="2" t="s">
        <v>86</v>
      </c>
      <c r="I146" s="2">
        <v>74</v>
      </c>
      <c r="J146" s="2"/>
      <c r="K146" s="3" t="str">
        <f>A146&amp;"|"&amp;D146&amp;"|"&amp;C146</f>
        <v>Omnia|Scope 2 GHG emissions|FY2024</v>
      </c>
    </row>
    <row r="147" spans="1:11" ht="23.25" customHeight="1">
      <c r="A147" s="2" t="s">
        <v>84</v>
      </c>
      <c r="B147" s="2" t="s">
        <v>85</v>
      </c>
      <c r="C147" s="2" t="s">
        <v>13</v>
      </c>
      <c r="D147" s="2" t="s">
        <v>43</v>
      </c>
      <c r="E147" s="2" t="s">
        <v>44</v>
      </c>
      <c r="F147" s="2">
        <v>70437</v>
      </c>
      <c r="G147" s="2" t="s">
        <v>91</v>
      </c>
      <c r="H147" s="2" t="s">
        <v>86</v>
      </c>
      <c r="I147" s="2">
        <v>74</v>
      </c>
      <c r="J147" s="2" t="s">
        <v>92</v>
      </c>
      <c r="K147" s="3" t="str">
        <f>A147&amp;"|"&amp;D147&amp;"|"&amp;C147</f>
        <v>Omnia|Scope 1 GHG emissions|FY2025</v>
      </c>
    </row>
    <row r="148" spans="1:11" ht="23.25" customHeight="1">
      <c r="A148" s="2" t="s">
        <v>84</v>
      </c>
      <c r="B148" s="2" t="s">
        <v>85</v>
      </c>
      <c r="C148" s="2" t="s">
        <v>13</v>
      </c>
      <c r="D148" s="2" t="s">
        <v>46</v>
      </c>
      <c r="E148" s="2" t="s">
        <v>44</v>
      </c>
      <c r="F148" s="2">
        <v>69960</v>
      </c>
      <c r="G148" s="2" t="s">
        <v>91</v>
      </c>
      <c r="H148" s="2" t="s">
        <v>86</v>
      </c>
      <c r="I148" s="2">
        <v>74</v>
      </c>
      <c r="J148" s="2"/>
      <c r="K148" s="3" t="str">
        <f>A148&amp;"|"&amp;D148&amp;"|"&amp;C148</f>
        <v>Omnia|Scope 2 GHG emissions|FY2025</v>
      </c>
    </row>
    <row r="149" spans="1:11" ht="23.25" customHeight="1">
      <c r="A149" s="2" t="s">
        <v>84</v>
      </c>
      <c r="B149" s="2" t="s">
        <v>85</v>
      </c>
      <c r="C149" s="2" t="s">
        <v>13</v>
      </c>
      <c r="D149" s="2" t="s">
        <v>93</v>
      </c>
      <c r="E149" s="2" t="s">
        <v>39</v>
      </c>
      <c r="F149" s="2">
        <v>0.2</v>
      </c>
      <c r="G149" s="2" t="s">
        <v>94</v>
      </c>
      <c r="H149" s="2" t="s">
        <v>86</v>
      </c>
      <c r="I149" s="2">
        <v>4</v>
      </c>
      <c r="J149" s="2"/>
      <c r="K149" s="3" t="str">
        <f>A149&amp;"|"&amp;D149&amp;"|"&amp;C149</f>
        <v>Omnia|Recordable case rate (RCR)|FY2025</v>
      </c>
    </row>
    <row r="150" spans="1:11" ht="23.25" customHeight="1">
      <c r="A150" s="2" t="s">
        <v>84</v>
      </c>
      <c r="B150" s="2" t="s">
        <v>85</v>
      </c>
      <c r="C150" s="2" t="s">
        <v>19</v>
      </c>
      <c r="D150" s="2" t="s">
        <v>93</v>
      </c>
      <c r="E150" s="2" t="s">
        <v>39</v>
      </c>
      <c r="F150" s="2">
        <v>0.05</v>
      </c>
      <c r="G150" s="2" t="s">
        <v>94</v>
      </c>
      <c r="H150" s="2" t="s">
        <v>86</v>
      </c>
      <c r="I150" s="2">
        <v>4</v>
      </c>
      <c r="J150" s="2"/>
      <c r="K150" s="3" t="str">
        <f>A150&amp;"|"&amp;D150&amp;"|"&amp;C150</f>
        <v>Omnia|Recordable case rate (RCR)|FY2024</v>
      </c>
    </row>
    <row r="151" spans="1:11" ht="23.25" customHeight="1">
      <c r="A151" s="2" t="s">
        <v>84</v>
      </c>
      <c r="B151" s="2" t="s">
        <v>85</v>
      </c>
      <c r="C151" s="2" t="s">
        <v>13</v>
      </c>
      <c r="D151" s="2" t="s">
        <v>95</v>
      </c>
      <c r="E151" s="2" t="s">
        <v>44</v>
      </c>
      <c r="F151" s="2">
        <v>20109</v>
      </c>
      <c r="G151" s="2" t="s">
        <v>53</v>
      </c>
      <c r="H151" s="2" t="s">
        <v>86</v>
      </c>
      <c r="I151" s="2">
        <v>4</v>
      </c>
      <c r="J151" s="2"/>
      <c r="K151" s="3" t="str">
        <f>A151&amp;"|"&amp;D151&amp;"|"&amp;C151</f>
        <v>Omnia|Renewable energy use|FY2025</v>
      </c>
    </row>
    <row r="152" spans="1:11" ht="23.25" customHeight="1">
      <c r="A152" s="2" t="s">
        <v>84</v>
      </c>
      <c r="B152" s="2" t="s">
        <v>85</v>
      </c>
      <c r="C152" s="2" t="s">
        <v>19</v>
      </c>
      <c r="D152" s="2" t="s">
        <v>95</v>
      </c>
      <c r="E152" s="2" t="s">
        <v>44</v>
      </c>
      <c r="F152" s="2">
        <v>12976</v>
      </c>
      <c r="G152" s="2" t="s">
        <v>53</v>
      </c>
      <c r="H152" s="2" t="s">
        <v>86</v>
      </c>
      <c r="I152" s="2">
        <v>4</v>
      </c>
      <c r="J152" s="2"/>
      <c r="K152" s="3" t="str">
        <f>A152&amp;"|"&amp;D152&amp;"|"&amp;C152</f>
        <v>Omnia|Renewable energy use|FY2024</v>
      </c>
    </row>
    <row r="153" spans="1:11" ht="23.25" customHeight="1">
      <c r="A153" s="2" t="s">
        <v>84</v>
      </c>
      <c r="B153" s="2" t="s">
        <v>85</v>
      </c>
      <c r="C153" s="2" t="s">
        <v>13</v>
      </c>
      <c r="D153" s="2" t="s">
        <v>96</v>
      </c>
      <c r="E153" s="2" t="s">
        <v>39</v>
      </c>
      <c r="F153" s="2">
        <v>3249</v>
      </c>
      <c r="G153" s="2" t="s">
        <v>42</v>
      </c>
      <c r="H153" s="2" t="s">
        <v>86</v>
      </c>
      <c r="I153" s="2">
        <v>73</v>
      </c>
      <c r="J153" s="2"/>
      <c r="K153" s="3" t="str">
        <f>A153&amp;"|"&amp;D153&amp;"|"&amp;C153</f>
        <v>Omnia|Total permanent employees (SA+Africa+Other)|FY2025</v>
      </c>
    </row>
    <row r="154" spans="1:11" ht="23.25" customHeight="1">
      <c r="A154" s="2" t="s">
        <v>84</v>
      </c>
      <c r="B154" s="2" t="s">
        <v>85</v>
      </c>
      <c r="C154" s="2" t="s">
        <v>19</v>
      </c>
      <c r="D154" s="2" t="s">
        <v>96</v>
      </c>
      <c r="E154" s="2" t="s">
        <v>39</v>
      </c>
      <c r="F154" s="2">
        <v>3232</v>
      </c>
      <c r="G154" s="2" t="s">
        <v>42</v>
      </c>
      <c r="H154" s="2" t="s">
        <v>86</v>
      </c>
      <c r="I154" s="2">
        <v>73</v>
      </c>
      <c r="J154" s="2"/>
      <c r="K154" s="3" t="str">
        <f>A154&amp;"|"&amp;D154&amp;"|"&amp;C154</f>
        <v>Omnia|Total permanent employees (SA+Africa+Other)|FY2024</v>
      </c>
    </row>
    <row r="155" spans="1:11" ht="23.25" customHeight="1">
      <c r="A155" s="2" t="s">
        <v>84</v>
      </c>
      <c r="B155" s="2" t="s">
        <v>85</v>
      </c>
      <c r="C155" s="2" t="s">
        <v>34</v>
      </c>
      <c r="D155" s="2" t="s">
        <v>96</v>
      </c>
      <c r="E155" s="2" t="s">
        <v>39</v>
      </c>
      <c r="F155" s="2">
        <v>3160</v>
      </c>
      <c r="G155" s="2" t="s">
        <v>42</v>
      </c>
      <c r="H155" s="2" t="s">
        <v>86</v>
      </c>
      <c r="I155" s="2">
        <v>73</v>
      </c>
      <c r="J155" s="2"/>
      <c r="K155" s="3" t="str">
        <f>A155&amp;"|"&amp;D155&amp;"|"&amp;C155</f>
        <v>Omnia|Total permanent employees (SA+Africa+Other)|FY2023</v>
      </c>
    </row>
    <row r="156" spans="1:11" ht="23.25" customHeight="1">
      <c r="A156" s="2" t="s">
        <v>97</v>
      </c>
      <c r="B156" s="2" t="s">
        <v>98</v>
      </c>
      <c r="C156" s="2" t="s">
        <v>60</v>
      </c>
      <c r="D156" s="2" t="s">
        <v>99</v>
      </c>
      <c r="E156" s="2" t="s">
        <v>15</v>
      </c>
      <c r="F156" s="2">
        <v>77898</v>
      </c>
      <c r="G156" s="2" t="s">
        <v>16</v>
      </c>
      <c r="H156" s="2" t="s">
        <v>100</v>
      </c>
      <c r="I156" s="2">
        <v>150</v>
      </c>
      <c r="J156" s="2" t="s">
        <v>101</v>
      </c>
      <c r="K156" s="3" t="str">
        <f>A156&amp;"|"&amp;D156&amp;"|"&amp;C156</f>
        <v>Sappi|Sales|FY2021</v>
      </c>
    </row>
    <row r="157" spans="1:11" ht="23.25" customHeight="1">
      <c r="A157" s="2" t="s">
        <v>97</v>
      </c>
      <c r="B157" s="2" t="s">
        <v>98</v>
      </c>
      <c r="C157" s="2" t="s">
        <v>60</v>
      </c>
      <c r="D157" s="2" t="s">
        <v>102</v>
      </c>
      <c r="E157" s="2" t="s">
        <v>15</v>
      </c>
      <c r="F157" s="2">
        <v>3003</v>
      </c>
      <c r="G157" s="2" t="s">
        <v>16</v>
      </c>
      <c r="H157" s="2" t="s">
        <v>100</v>
      </c>
      <c r="I157" s="2">
        <v>150</v>
      </c>
      <c r="J157" s="2" t="s">
        <v>103</v>
      </c>
      <c r="K157" s="3" t="str">
        <f>A157&amp;"|"&amp;D157&amp;"|"&amp;C157</f>
        <v>Sappi|Operating profit excl. special items|FY2021</v>
      </c>
    </row>
    <row r="158" spans="1:11" ht="23.25" customHeight="1">
      <c r="A158" s="2" t="s">
        <v>97</v>
      </c>
      <c r="B158" s="2" t="s">
        <v>98</v>
      </c>
      <c r="C158" s="2" t="s">
        <v>60</v>
      </c>
      <c r="D158" s="2" t="s">
        <v>104</v>
      </c>
      <c r="E158" s="2" t="s">
        <v>15</v>
      </c>
      <c r="F158" s="2">
        <v>7871</v>
      </c>
      <c r="G158" s="2" t="s">
        <v>16</v>
      </c>
      <c r="H158" s="2" t="s">
        <v>100</v>
      </c>
      <c r="I158" s="2">
        <v>150</v>
      </c>
      <c r="J158" s="2" t="s">
        <v>105</v>
      </c>
      <c r="K158" s="3" t="str">
        <f>A158&amp;"|"&amp;D158&amp;"|"&amp;C158</f>
        <v>Sappi|Adjusted EBITDA|FY2021</v>
      </c>
    </row>
    <row r="159" spans="1:11" ht="23.25" customHeight="1">
      <c r="A159" s="2" t="s">
        <v>97</v>
      </c>
      <c r="B159" s="2" t="s">
        <v>98</v>
      </c>
      <c r="C159" s="2" t="s">
        <v>60</v>
      </c>
      <c r="D159" s="2" t="s">
        <v>106</v>
      </c>
      <c r="E159" s="2" t="s">
        <v>15</v>
      </c>
      <c r="F159" s="2">
        <v>192</v>
      </c>
      <c r="G159" s="2" t="s">
        <v>16</v>
      </c>
      <c r="H159" s="2" t="s">
        <v>100</v>
      </c>
      <c r="I159" s="2">
        <v>150</v>
      </c>
      <c r="J159" s="2" t="s">
        <v>107</v>
      </c>
      <c r="K159" s="3" t="str">
        <f>A159&amp;"|"&amp;D159&amp;"|"&amp;C159</f>
        <v>Sappi|Profit/(loss) for the year|FY2021</v>
      </c>
    </row>
    <row r="160" spans="1:11" ht="23.25" customHeight="1">
      <c r="A160" s="2" t="s">
        <v>97</v>
      </c>
      <c r="B160" s="2" t="s">
        <v>98</v>
      </c>
      <c r="C160" s="2" t="s">
        <v>60</v>
      </c>
      <c r="D160" s="2" t="s">
        <v>108</v>
      </c>
      <c r="E160" s="2" t="s">
        <v>15</v>
      </c>
      <c r="F160" s="2">
        <v>74</v>
      </c>
      <c r="G160" s="2" t="s">
        <v>109</v>
      </c>
      <c r="H160" s="2" t="s">
        <v>100</v>
      </c>
      <c r="I160" s="2">
        <v>151</v>
      </c>
      <c r="J160" s="2" t="s">
        <v>110</v>
      </c>
      <c r="K160" s="3" t="str">
        <f>A160&amp;"|"&amp;D160&amp;"|"&amp;C160</f>
        <v>Sappi|Headline earnings/(loss) per share|FY2021</v>
      </c>
    </row>
    <row r="161" spans="1:11" ht="23.25" customHeight="1">
      <c r="A161" s="2" t="s">
        <v>97</v>
      </c>
      <c r="B161" s="2" t="s">
        <v>98</v>
      </c>
      <c r="C161" s="2" t="s">
        <v>60</v>
      </c>
      <c r="D161" s="2" t="s">
        <v>111</v>
      </c>
      <c r="E161" s="2" t="s">
        <v>15</v>
      </c>
      <c r="F161" s="2">
        <v>5193</v>
      </c>
      <c r="G161" s="2" t="s">
        <v>109</v>
      </c>
      <c r="H161" s="2" t="s">
        <v>100</v>
      </c>
      <c r="I161" s="2">
        <v>151</v>
      </c>
      <c r="J161" s="2" t="s">
        <v>112</v>
      </c>
      <c r="K161" s="3" t="str">
        <f>A161&amp;"|"&amp;D161&amp;"|"&amp;C161</f>
        <v>Sappi|Net asset value per share|FY2021</v>
      </c>
    </row>
    <row r="162" spans="1:11" ht="23.25" customHeight="1">
      <c r="A162" s="2" t="s">
        <v>97</v>
      </c>
      <c r="B162" s="2" t="s">
        <v>98</v>
      </c>
      <c r="C162" s="2" t="s">
        <v>31</v>
      </c>
      <c r="D162" s="2" t="s">
        <v>99</v>
      </c>
      <c r="E162" s="2" t="s">
        <v>15</v>
      </c>
      <c r="F162" s="2">
        <v>119450</v>
      </c>
      <c r="G162" s="2" t="s">
        <v>16</v>
      </c>
      <c r="H162" s="2" t="s">
        <v>100</v>
      </c>
      <c r="I162" s="2">
        <v>150</v>
      </c>
      <c r="J162" s="2" t="s">
        <v>113</v>
      </c>
      <c r="K162" s="3" t="str">
        <f>A162&amp;"|"&amp;D162&amp;"|"&amp;C162</f>
        <v>Sappi|Sales|FY2022</v>
      </c>
    </row>
    <row r="163" spans="1:11" ht="23.25" customHeight="1">
      <c r="A163" s="2" t="s">
        <v>97</v>
      </c>
      <c r="B163" s="2" t="s">
        <v>98</v>
      </c>
      <c r="C163" s="2" t="s">
        <v>31</v>
      </c>
      <c r="D163" s="2" t="s">
        <v>102</v>
      </c>
      <c r="E163" s="2" t="s">
        <v>15</v>
      </c>
      <c r="F163" s="2">
        <v>16994</v>
      </c>
      <c r="G163" s="2" t="s">
        <v>16</v>
      </c>
      <c r="H163" s="2" t="s">
        <v>100</v>
      </c>
      <c r="I163" s="2">
        <v>150</v>
      </c>
      <c r="J163" s="2" t="s">
        <v>114</v>
      </c>
      <c r="K163" s="3" t="str">
        <f>A163&amp;"|"&amp;D163&amp;"|"&amp;C163</f>
        <v>Sappi|Operating profit excl. special items|FY2022</v>
      </c>
    </row>
    <row r="164" spans="1:11" ht="23.25" customHeight="1">
      <c r="A164" s="2" t="s">
        <v>97</v>
      </c>
      <c r="B164" s="2" t="s">
        <v>98</v>
      </c>
      <c r="C164" s="2" t="s">
        <v>31</v>
      </c>
      <c r="D164" s="2" t="s">
        <v>104</v>
      </c>
      <c r="E164" s="2" t="s">
        <v>15</v>
      </c>
      <c r="F164" s="2">
        <v>21922</v>
      </c>
      <c r="G164" s="2" t="s">
        <v>16</v>
      </c>
      <c r="H164" s="2" t="s">
        <v>100</v>
      </c>
      <c r="I164" s="2">
        <v>150</v>
      </c>
      <c r="J164" s="2" t="s">
        <v>115</v>
      </c>
      <c r="K164" s="3" t="str">
        <f>A164&amp;"|"&amp;D164&amp;"|"&amp;C164</f>
        <v>Sappi|Adjusted EBITDA|FY2022</v>
      </c>
    </row>
    <row r="165" spans="1:11" ht="23.25" customHeight="1">
      <c r="A165" s="2" t="s">
        <v>97</v>
      </c>
      <c r="B165" s="2" t="s">
        <v>98</v>
      </c>
      <c r="C165" s="2" t="s">
        <v>31</v>
      </c>
      <c r="D165" s="2" t="s">
        <v>106</v>
      </c>
      <c r="E165" s="2" t="s">
        <v>15</v>
      </c>
      <c r="F165" s="2">
        <v>8775</v>
      </c>
      <c r="G165" s="2" t="s">
        <v>16</v>
      </c>
      <c r="H165" s="2" t="s">
        <v>100</v>
      </c>
      <c r="I165" s="2">
        <v>150</v>
      </c>
      <c r="J165" s="2" t="s">
        <v>116</v>
      </c>
      <c r="K165" s="3" t="str">
        <f>A165&amp;"|"&amp;D165&amp;"|"&amp;C165</f>
        <v>Sappi|Profit/(loss) for the year|FY2022</v>
      </c>
    </row>
    <row r="166" spans="1:11" ht="23.25" customHeight="1">
      <c r="A166" s="2" t="s">
        <v>97</v>
      </c>
      <c r="B166" s="2" t="s">
        <v>98</v>
      </c>
      <c r="C166" s="2" t="s">
        <v>31</v>
      </c>
      <c r="D166" s="2" t="s">
        <v>108</v>
      </c>
      <c r="E166" s="2" t="s">
        <v>15</v>
      </c>
      <c r="F166" s="2">
        <v>2128</v>
      </c>
      <c r="G166" s="2" t="s">
        <v>109</v>
      </c>
      <c r="H166" s="2" t="s">
        <v>100</v>
      </c>
      <c r="I166" s="2">
        <v>151</v>
      </c>
      <c r="J166" s="2" t="s">
        <v>117</v>
      </c>
      <c r="K166" s="3" t="str">
        <f>A166&amp;"|"&amp;D166&amp;"|"&amp;C166</f>
        <v>Sappi|Headline earnings/(loss) per share|FY2022</v>
      </c>
    </row>
    <row r="167" spans="1:11" ht="23.25" customHeight="1">
      <c r="A167" s="2" t="s">
        <v>97</v>
      </c>
      <c r="B167" s="2" t="s">
        <v>98</v>
      </c>
      <c r="C167" s="2" t="s">
        <v>31</v>
      </c>
      <c r="D167" s="2" t="s">
        <v>111</v>
      </c>
      <c r="E167" s="2" t="s">
        <v>15</v>
      </c>
      <c r="F167" s="2">
        <v>6827</v>
      </c>
      <c r="G167" s="2" t="s">
        <v>109</v>
      </c>
      <c r="H167" s="2" t="s">
        <v>100</v>
      </c>
      <c r="I167" s="2">
        <v>151</v>
      </c>
      <c r="J167" s="2" t="s">
        <v>118</v>
      </c>
      <c r="K167" s="3" t="str">
        <f>A167&amp;"|"&amp;D167&amp;"|"&amp;C167</f>
        <v>Sappi|Net asset value per share|FY2022</v>
      </c>
    </row>
    <row r="168" spans="1:11" ht="23.25" customHeight="1">
      <c r="A168" s="2" t="s">
        <v>97</v>
      </c>
      <c r="B168" s="2" t="s">
        <v>98</v>
      </c>
      <c r="C168" s="2" t="s">
        <v>34</v>
      </c>
      <c r="D168" s="2" t="s">
        <v>99</v>
      </c>
      <c r="E168" s="2" t="s">
        <v>15</v>
      </c>
      <c r="F168" s="2">
        <v>107187</v>
      </c>
      <c r="G168" s="2" t="s">
        <v>16</v>
      </c>
      <c r="H168" s="2" t="s">
        <v>100</v>
      </c>
      <c r="I168" s="2">
        <v>150</v>
      </c>
      <c r="J168" s="2" t="s">
        <v>119</v>
      </c>
      <c r="K168" s="3" t="str">
        <f>A168&amp;"|"&amp;D168&amp;"|"&amp;C168</f>
        <v>Sappi|Sales|FY2023</v>
      </c>
    </row>
    <row r="169" spans="1:11" ht="23.25" customHeight="1">
      <c r="A169" s="2" t="s">
        <v>97</v>
      </c>
      <c r="B169" s="2" t="s">
        <v>98</v>
      </c>
      <c r="C169" s="2" t="s">
        <v>34</v>
      </c>
      <c r="D169" s="2" t="s">
        <v>102</v>
      </c>
      <c r="E169" s="2" t="s">
        <v>15</v>
      </c>
      <c r="F169" s="2">
        <v>7971</v>
      </c>
      <c r="G169" s="2" t="s">
        <v>16</v>
      </c>
      <c r="H169" s="2" t="s">
        <v>100</v>
      </c>
      <c r="I169" s="2">
        <v>150</v>
      </c>
      <c r="J169" s="2" t="s">
        <v>120</v>
      </c>
      <c r="K169" s="3" t="str">
        <f>A169&amp;"|"&amp;D169&amp;"|"&amp;C169</f>
        <v>Sappi|Operating profit excl. special items|FY2023</v>
      </c>
    </row>
    <row r="170" spans="1:11" ht="23.25" customHeight="1">
      <c r="A170" s="2" t="s">
        <v>97</v>
      </c>
      <c r="B170" s="2" t="s">
        <v>98</v>
      </c>
      <c r="C170" s="2" t="s">
        <v>34</v>
      </c>
      <c r="D170" s="2" t="s">
        <v>104</v>
      </c>
      <c r="E170" s="2" t="s">
        <v>15</v>
      </c>
      <c r="F170" s="2">
        <v>13488</v>
      </c>
      <c r="G170" s="2" t="s">
        <v>16</v>
      </c>
      <c r="H170" s="2" t="s">
        <v>100</v>
      </c>
      <c r="I170" s="2">
        <v>150</v>
      </c>
      <c r="J170" s="2" t="s">
        <v>121</v>
      </c>
      <c r="K170" s="3" t="str">
        <f>A170&amp;"|"&amp;D170&amp;"|"&amp;C170</f>
        <v>Sappi|Adjusted EBITDA|FY2023</v>
      </c>
    </row>
    <row r="171" spans="1:11" ht="23.25" customHeight="1">
      <c r="A171" s="2" t="s">
        <v>97</v>
      </c>
      <c r="B171" s="2" t="s">
        <v>98</v>
      </c>
      <c r="C171" s="2" t="s">
        <v>34</v>
      </c>
      <c r="D171" s="2" t="s">
        <v>106</v>
      </c>
      <c r="E171" s="2" t="s">
        <v>15</v>
      </c>
      <c r="F171" s="2">
        <v>4779</v>
      </c>
      <c r="G171" s="2" t="s">
        <v>16</v>
      </c>
      <c r="H171" s="2" t="s">
        <v>100</v>
      </c>
      <c r="I171" s="2">
        <v>150</v>
      </c>
      <c r="J171" s="2" t="s">
        <v>122</v>
      </c>
      <c r="K171" s="3" t="str">
        <f>A171&amp;"|"&amp;D171&amp;"|"&amp;C171</f>
        <v>Sappi|Profit/(loss) for the year|FY2023</v>
      </c>
    </row>
    <row r="172" spans="1:11" ht="23.25" customHeight="1">
      <c r="A172" s="2" t="s">
        <v>97</v>
      </c>
      <c r="B172" s="2" t="s">
        <v>98</v>
      </c>
      <c r="C172" s="2" t="s">
        <v>34</v>
      </c>
      <c r="D172" s="2" t="s">
        <v>108</v>
      </c>
      <c r="E172" s="2" t="s">
        <v>15</v>
      </c>
      <c r="F172" s="2">
        <v>923</v>
      </c>
      <c r="G172" s="2" t="s">
        <v>109</v>
      </c>
      <c r="H172" s="2" t="s">
        <v>100</v>
      </c>
      <c r="I172" s="2">
        <v>151</v>
      </c>
      <c r="J172" s="2" t="s">
        <v>123</v>
      </c>
      <c r="K172" s="3" t="str">
        <f>A172&amp;"|"&amp;D172&amp;"|"&amp;C172</f>
        <v>Sappi|Headline earnings/(loss) per share|FY2023</v>
      </c>
    </row>
    <row r="173" spans="1:11" ht="23.25" customHeight="1">
      <c r="A173" s="2" t="s">
        <v>97</v>
      </c>
      <c r="B173" s="2" t="s">
        <v>98</v>
      </c>
      <c r="C173" s="2" t="s">
        <v>34</v>
      </c>
      <c r="D173" s="2" t="s">
        <v>111</v>
      </c>
      <c r="E173" s="2" t="s">
        <v>15</v>
      </c>
      <c r="F173" s="2">
        <v>8082</v>
      </c>
      <c r="G173" s="2" t="s">
        <v>109</v>
      </c>
      <c r="H173" s="2" t="s">
        <v>100</v>
      </c>
      <c r="I173" s="2">
        <v>151</v>
      </c>
      <c r="J173" s="2" t="s">
        <v>124</v>
      </c>
      <c r="K173" s="3" t="str">
        <f>A173&amp;"|"&amp;D173&amp;"|"&amp;C173</f>
        <v>Sappi|Net asset value per share|FY2023</v>
      </c>
    </row>
    <row r="174" spans="1:11" ht="23.25" customHeight="1">
      <c r="A174" s="2" t="s">
        <v>97</v>
      </c>
      <c r="B174" s="2" t="s">
        <v>98</v>
      </c>
      <c r="C174" s="2" t="s">
        <v>19</v>
      </c>
      <c r="D174" s="2" t="s">
        <v>99</v>
      </c>
      <c r="E174" s="2" t="s">
        <v>15</v>
      </c>
      <c r="F174" s="2">
        <v>100050</v>
      </c>
      <c r="G174" s="2" t="s">
        <v>16</v>
      </c>
      <c r="H174" s="2" t="s">
        <v>100</v>
      </c>
      <c r="I174" s="2">
        <v>150</v>
      </c>
      <c r="J174" s="2" t="s">
        <v>125</v>
      </c>
      <c r="K174" s="3" t="str">
        <f>A174&amp;"|"&amp;D174&amp;"|"&amp;C174</f>
        <v>Sappi|Sales|FY2024</v>
      </c>
    </row>
    <row r="175" spans="1:11" ht="23.25" customHeight="1">
      <c r="A175" s="2" t="s">
        <v>97</v>
      </c>
      <c r="B175" s="2" t="s">
        <v>98</v>
      </c>
      <c r="C175" s="2" t="s">
        <v>19</v>
      </c>
      <c r="D175" s="2" t="s">
        <v>102</v>
      </c>
      <c r="E175" s="2" t="s">
        <v>15</v>
      </c>
      <c r="F175" s="2">
        <v>7461</v>
      </c>
      <c r="G175" s="2" t="s">
        <v>16</v>
      </c>
      <c r="H175" s="2" t="s">
        <v>100</v>
      </c>
      <c r="I175" s="2">
        <v>150</v>
      </c>
      <c r="J175" s="2" t="s">
        <v>126</v>
      </c>
      <c r="K175" s="3" t="str">
        <f>A175&amp;"|"&amp;D175&amp;"|"&amp;C175</f>
        <v>Sappi|Operating profit excl. special items|FY2024</v>
      </c>
    </row>
    <row r="176" spans="1:11" ht="23.25" customHeight="1">
      <c r="A176" s="2" t="s">
        <v>97</v>
      </c>
      <c r="B176" s="2" t="s">
        <v>98</v>
      </c>
      <c r="C176" s="2" t="s">
        <v>19</v>
      </c>
      <c r="D176" s="2" t="s">
        <v>104</v>
      </c>
      <c r="E176" s="2" t="s">
        <v>15</v>
      </c>
      <c r="F176" s="2">
        <v>12538</v>
      </c>
      <c r="G176" s="2" t="s">
        <v>16</v>
      </c>
      <c r="H176" s="2" t="s">
        <v>100</v>
      </c>
      <c r="I176" s="2">
        <v>150</v>
      </c>
      <c r="J176" s="2" t="s">
        <v>127</v>
      </c>
      <c r="K176" s="3" t="str">
        <f>A176&amp;"|"&amp;D176&amp;"|"&amp;C176</f>
        <v>Sappi|Adjusted EBITDA|FY2024</v>
      </c>
    </row>
    <row r="177" spans="1:11" ht="23.25" customHeight="1">
      <c r="A177" s="2" t="s">
        <v>97</v>
      </c>
      <c r="B177" s="2" t="s">
        <v>98</v>
      </c>
      <c r="C177" s="2" t="s">
        <v>19</v>
      </c>
      <c r="D177" s="2" t="s">
        <v>106</v>
      </c>
      <c r="E177" s="2" t="s">
        <v>15</v>
      </c>
      <c r="F177" s="2">
        <v>605</v>
      </c>
      <c r="G177" s="2" t="s">
        <v>16</v>
      </c>
      <c r="H177" s="2" t="s">
        <v>100</v>
      </c>
      <c r="I177" s="2">
        <v>150</v>
      </c>
      <c r="J177" s="2" t="s">
        <v>128</v>
      </c>
      <c r="K177" s="3" t="str">
        <f>A177&amp;"|"&amp;D177&amp;"|"&amp;C177</f>
        <v>Sappi|Profit/(loss) for the year|FY2024</v>
      </c>
    </row>
    <row r="178" spans="1:11" ht="23.25" customHeight="1">
      <c r="A178" s="2" t="s">
        <v>97</v>
      </c>
      <c r="B178" s="2" t="s">
        <v>98</v>
      </c>
      <c r="C178" s="2" t="s">
        <v>19</v>
      </c>
      <c r="D178" s="2" t="s">
        <v>108</v>
      </c>
      <c r="E178" s="2" t="s">
        <v>15</v>
      </c>
      <c r="F178" s="2">
        <v>18</v>
      </c>
      <c r="G178" s="2" t="s">
        <v>109</v>
      </c>
      <c r="H178" s="2" t="s">
        <v>100</v>
      </c>
      <c r="I178" s="2">
        <v>151</v>
      </c>
      <c r="J178" s="2" t="s">
        <v>129</v>
      </c>
      <c r="K178" s="3" t="str">
        <f>A178&amp;"|"&amp;D178&amp;"|"&amp;C178</f>
        <v>Sappi|Headline earnings/(loss) per share|FY2024</v>
      </c>
    </row>
    <row r="179" spans="1:11" ht="23.25" customHeight="1">
      <c r="A179" s="2" t="s">
        <v>97</v>
      </c>
      <c r="B179" s="2" t="s">
        <v>98</v>
      </c>
      <c r="C179" s="2" t="s">
        <v>19</v>
      </c>
      <c r="D179" s="2" t="s">
        <v>111</v>
      </c>
      <c r="E179" s="2" t="s">
        <v>15</v>
      </c>
      <c r="F179" s="2">
        <v>7882</v>
      </c>
      <c r="G179" s="2" t="s">
        <v>109</v>
      </c>
      <c r="H179" s="2" t="s">
        <v>100</v>
      </c>
      <c r="I179" s="2">
        <v>151</v>
      </c>
      <c r="J179" s="2" t="s">
        <v>130</v>
      </c>
      <c r="K179" s="3" t="str">
        <f>A179&amp;"|"&amp;D179&amp;"|"&amp;C179</f>
        <v>Sappi|Net asset value per share|FY2024</v>
      </c>
    </row>
    <row r="180" spans="1:11" ht="23.25" customHeight="1">
      <c r="A180" s="2" t="s">
        <v>97</v>
      </c>
      <c r="B180" s="2" t="s">
        <v>98</v>
      </c>
      <c r="C180" s="2" t="s">
        <v>13</v>
      </c>
      <c r="D180" s="2" t="s">
        <v>99</v>
      </c>
      <c r="E180" s="2" t="s">
        <v>15</v>
      </c>
      <c r="F180" s="2">
        <v>96893</v>
      </c>
      <c r="G180" s="2" t="s">
        <v>16</v>
      </c>
      <c r="H180" s="2" t="s">
        <v>100</v>
      </c>
      <c r="I180" s="2">
        <v>150</v>
      </c>
      <c r="J180" s="2" t="s">
        <v>131</v>
      </c>
      <c r="K180" s="3" t="str">
        <f>A180&amp;"|"&amp;D180&amp;"|"&amp;C180</f>
        <v>Sappi|Sales|FY2025</v>
      </c>
    </row>
    <row r="181" spans="1:11" ht="23.25" customHeight="1">
      <c r="A181" s="2" t="s">
        <v>97</v>
      </c>
      <c r="B181" s="2" t="s">
        <v>98</v>
      </c>
      <c r="C181" s="2" t="s">
        <v>13</v>
      </c>
      <c r="D181" s="2" t="s">
        <v>102</v>
      </c>
      <c r="E181" s="2" t="s">
        <v>15</v>
      </c>
      <c r="F181" s="2">
        <v>3146</v>
      </c>
      <c r="G181" s="2" t="s">
        <v>16</v>
      </c>
      <c r="H181" s="2" t="s">
        <v>100</v>
      </c>
      <c r="I181" s="2">
        <v>150</v>
      </c>
      <c r="J181" s="2" t="s">
        <v>132</v>
      </c>
      <c r="K181" s="3" t="str">
        <f>A181&amp;"|"&amp;D181&amp;"|"&amp;C181</f>
        <v>Sappi|Operating profit excl. special items|FY2025</v>
      </c>
    </row>
    <row r="182" spans="1:11" ht="23.25" customHeight="1">
      <c r="A182" s="2" t="s">
        <v>97</v>
      </c>
      <c r="B182" s="2" t="s">
        <v>98</v>
      </c>
      <c r="C182" s="2" t="s">
        <v>13</v>
      </c>
      <c r="D182" s="2" t="s">
        <v>104</v>
      </c>
      <c r="E182" s="2" t="s">
        <v>15</v>
      </c>
      <c r="F182" s="2">
        <v>8956</v>
      </c>
      <c r="G182" s="2" t="s">
        <v>16</v>
      </c>
      <c r="H182" s="2" t="s">
        <v>100</v>
      </c>
      <c r="I182" s="2">
        <v>150</v>
      </c>
      <c r="J182" s="2" t="s">
        <v>133</v>
      </c>
      <c r="K182" s="3" t="str">
        <f>A182&amp;"|"&amp;D182&amp;"|"&amp;C182</f>
        <v>Sappi|Adjusted EBITDA|FY2025</v>
      </c>
    </row>
    <row r="183" spans="1:11" ht="23.25" customHeight="1">
      <c r="A183" s="2" t="s">
        <v>97</v>
      </c>
      <c r="B183" s="2" t="s">
        <v>98</v>
      </c>
      <c r="C183" s="2" t="s">
        <v>13</v>
      </c>
      <c r="D183" s="2" t="s">
        <v>106</v>
      </c>
      <c r="E183" s="2" t="s">
        <v>15</v>
      </c>
      <c r="F183" s="2">
        <v>-3164</v>
      </c>
      <c r="G183" s="2" t="s">
        <v>16</v>
      </c>
      <c r="H183" s="2" t="s">
        <v>100</v>
      </c>
      <c r="I183" s="2">
        <v>150</v>
      </c>
      <c r="J183" s="2" t="s">
        <v>134</v>
      </c>
      <c r="K183" s="3" t="str">
        <f>A183&amp;"|"&amp;D183&amp;"|"&amp;C183</f>
        <v>Sappi|Profit/(loss) for the year|FY2025</v>
      </c>
    </row>
    <row r="184" spans="1:11" ht="23.25" customHeight="1">
      <c r="A184" s="2" t="s">
        <v>97</v>
      </c>
      <c r="B184" s="2" t="s">
        <v>98</v>
      </c>
      <c r="C184" s="2" t="s">
        <v>13</v>
      </c>
      <c r="D184" s="2" t="s">
        <v>108</v>
      </c>
      <c r="E184" s="2" t="s">
        <v>15</v>
      </c>
      <c r="F184" s="2">
        <v>-268</v>
      </c>
      <c r="G184" s="2" t="s">
        <v>109</v>
      </c>
      <c r="H184" s="2" t="s">
        <v>100</v>
      </c>
      <c r="I184" s="2">
        <v>151</v>
      </c>
      <c r="J184" s="2" t="s">
        <v>135</v>
      </c>
      <c r="K184" s="3" t="str">
        <f>A184&amp;"|"&amp;D184&amp;"|"&amp;C184</f>
        <v>Sappi|Headline earnings/(loss) per share|FY2025</v>
      </c>
    </row>
    <row r="185" spans="1:11" ht="23.25" customHeight="1">
      <c r="A185" s="2" t="s">
        <v>97</v>
      </c>
      <c r="B185" s="2" t="s">
        <v>98</v>
      </c>
      <c r="C185" s="2" t="s">
        <v>13</v>
      </c>
      <c r="D185" s="2" t="s">
        <v>111</v>
      </c>
      <c r="E185" s="2" t="s">
        <v>15</v>
      </c>
      <c r="F185" s="2">
        <v>6829</v>
      </c>
      <c r="G185" s="2" t="s">
        <v>109</v>
      </c>
      <c r="H185" s="2" t="s">
        <v>100</v>
      </c>
      <c r="I185" s="2">
        <v>151</v>
      </c>
      <c r="J185" s="2" t="s">
        <v>136</v>
      </c>
      <c r="K185" s="3" t="str">
        <f>A185&amp;"|"&amp;D185&amp;"|"&amp;C185</f>
        <v>Sappi|Net asset value per share|FY2025</v>
      </c>
    </row>
    <row r="186" spans="1:11" ht="23.25" customHeight="1">
      <c r="A186" s="2" t="s">
        <v>137</v>
      </c>
      <c r="B186" s="2" t="s">
        <v>138</v>
      </c>
      <c r="C186" s="2" t="s">
        <v>13</v>
      </c>
      <c r="D186" s="2" t="s">
        <v>139</v>
      </c>
      <c r="E186" s="2" t="s">
        <v>44</v>
      </c>
      <c r="F186" s="2">
        <v>23</v>
      </c>
      <c r="G186" s="2" t="s">
        <v>140</v>
      </c>
      <c r="H186" s="2" t="s">
        <v>141</v>
      </c>
      <c r="I186" s="2">
        <v>85</v>
      </c>
      <c r="J186" s="2" t="s">
        <v>142</v>
      </c>
      <c r="K186" s="3" t="str">
        <f>A186&amp;"|"&amp;D186&amp;"|"&amp;C186</f>
        <v>Sasol|GHG emission reduction vs FY2017 baseline (International Chemicals)|FY2025</v>
      </c>
    </row>
    <row r="187" spans="1:11" ht="23.25" customHeight="1">
      <c r="A187" s="2" t="s">
        <v>137</v>
      </c>
      <c r="B187" s="2" t="s">
        <v>138</v>
      </c>
      <c r="C187" s="2" t="s">
        <v>19</v>
      </c>
      <c r="D187" s="2" t="s">
        <v>143</v>
      </c>
      <c r="E187" s="2" t="s">
        <v>44</v>
      </c>
      <c r="F187" s="2">
        <v>5</v>
      </c>
      <c r="G187" s="2" t="s">
        <v>140</v>
      </c>
      <c r="H187" s="2" t="s">
        <v>144</v>
      </c>
      <c r="I187" s="2">
        <v>13</v>
      </c>
      <c r="J187" s="2" t="s">
        <v>145</v>
      </c>
      <c r="K187" s="3" t="str">
        <f>A187&amp;"|"&amp;D187&amp;"|"&amp;C187</f>
        <v>Sasol|GHG emission reduction vs FY2017 baseline (Group)|FY2024</v>
      </c>
    </row>
    <row r="188" spans="1:11" ht="15" customHeight="1">
      <c r="A188" s="2" t="s">
        <v>137</v>
      </c>
      <c r="B188" s="2" t="s">
        <v>138</v>
      </c>
      <c r="C188" s="2" t="s">
        <v>19</v>
      </c>
      <c r="D188" s="2" t="s">
        <v>146</v>
      </c>
      <c r="E188" s="2" t="s">
        <v>39</v>
      </c>
      <c r="F188" s="2">
        <v>0.25</v>
      </c>
      <c r="G188" s="2" t="s">
        <v>40</v>
      </c>
      <c r="H188" s="2" t="s">
        <v>144</v>
      </c>
      <c r="I188" s="2">
        <v>13</v>
      </c>
      <c r="J188" s="2"/>
      <c r="K188" s="3" t="str">
        <f>A188&amp;"|"&amp;D188&amp;"|"&amp;C188</f>
        <v>Sasol|Recordable case rate|FY2024</v>
      </c>
    </row>
    <row r="189" spans="1:11" ht="15" customHeight="1">
      <c r="A189" s="2" t="s">
        <v>137</v>
      </c>
      <c r="B189" s="2" t="s">
        <v>138</v>
      </c>
      <c r="C189" s="2" t="s">
        <v>19</v>
      </c>
      <c r="D189" s="2" t="s">
        <v>41</v>
      </c>
      <c r="E189" s="2" t="s">
        <v>39</v>
      </c>
      <c r="F189" s="2">
        <v>6</v>
      </c>
      <c r="G189" s="2" t="s">
        <v>42</v>
      </c>
      <c r="H189" s="2" t="s">
        <v>144</v>
      </c>
      <c r="I189" s="2">
        <v>13</v>
      </c>
      <c r="J189" s="2" t="s">
        <v>147</v>
      </c>
      <c r="K189" s="3" t="str">
        <f>A189&amp;"|"&amp;D189&amp;"|"&amp;C189</f>
        <v>Sasol|Fatalities|FY2024</v>
      </c>
    </row>
    <row r="190" spans="1:11" ht="15" customHeight="1">
      <c r="A190" s="2" t="s">
        <v>137</v>
      </c>
      <c r="B190" s="2" t="s">
        <v>138</v>
      </c>
      <c r="C190" s="2" t="s">
        <v>19</v>
      </c>
      <c r="D190" s="2" t="s">
        <v>148</v>
      </c>
      <c r="E190" s="2" t="s">
        <v>39</v>
      </c>
      <c r="F190" s="2">
        <v>1.2</v>
      </c>
      <c r="G190" s="2" t="s">
        <v>27</v>
      </c>
      <c r="H190" s="2" t="s">
        <v>144</v>
      </c>
      <c r="I190" s="2">
        <v>13</v>
      </c>
      <c r="J190" s="2"/>
      <c r="K190" s="3" t="str">
        <f>A190&amp;"|"&amp;D190&amp;"|"&amp;C190</f>
        <v>Sasol|Investment in skills development|FY2024</v>
      </c>
    </row>
    <row r="191" spans="1:11" ht="15" customHeight="1">
      <c r="A191" s="2" t="s">
        <v>137</v>
      </c>
      <c r="B191" s="2" t="s">
        <v>138</v>
      </c>
      <c r="C191" s="2" t="s">
        <v>19</v>
      </c>
      <c r="D191" s="2" t="s">
        <v>149</v>
      </c>
      <c r="E191" s="2" t="s">
        <v>39</v>
      </c>
      <c r="F191" s="2">
        <v>693.2</v>
      </c>
      <c r="G191" s="2" t="s">
        <v>16</v>
      </c>
      <c r="H191" s="2" t="s">
        <v>144</v>
      </c>
      <c r="I191" s="2">
        <v>13</v>
      </c>
      <c r="J191" s="2"/>
      <c r="K191" s="3" t="str">
        <f>A191&amp;"|"&amp;D191&amp;"|"&amp;C191</f>
        <v>Sasol|Investment in socio-economic development|FY2024</v>
      </c>
    </row>
    <row r="192" spans="1:11" ht="15" customHeight="1">
      <c r="A192" s="2" t="s">
        <v>137</v>
      </c>
      <c r="B192" s="2" t="s">
        <v>138</v>
      </c>
      <c r="C192" s="2" t="s">
        <v>31</v>
      </c>
      <c r="D192" s="2" t="s">
        <v>41</v>
      </c>
      <c r="E192" s="2" t="s">
        <v>39</v>
      </c>
      <c r="F192" s="2">
        <v>5</v>
      </c>
      <c r="G192" s="2" t="s">
        <v>42</v>
      </c>
      <c r="H192" s="2" t="s">
        <v>150</v>
      </c>
      <c r="I192" s="2">
        <v>8</v>
      </c>
      <c r="J192" s="2" t="s">
        <v>151</v>
      </c>
      <c r="K192" s="3" t="str">
        <f>A192&amp;"|"&amp;D192&amp;"|"&amp;C192</f>
        <v>Sasol|Fatalities|FY2022</v>
      </c>
    </row>
    <row r="193" spans="1:11" ht="15" customHeight="1">
      <c r="A193" s="2" t="s">
        <v>137</v>
      </c>
      <c r="B193" s="2" t="s">
        <v>138</v>
      </c>
      <c r="C193" s="2" t="s">
        <v>13</v>
      </c>
      <c r="D193" s="2" t="s">
        <v>152</v>
      </c>
      <c r="E193" s="2" t="s">
        <v>39</v>
      </c>
      <c r="F193" s="2">
        <v>28</v>
      </c>
      <c r="G193" s="2" t="s">
        <v>23</v>
      </c>
      <c r="H193" s="2" t="s">
        <v>141</v>
      </c>
      <c r="I193" s="2">
        <v>100</v>
      </c>
      <c r="J193" s="2" t="s">
        <v>153</v>
      </c>
      <c r="K193" s="3" t="str">
        <f>A193&amp;"|"&amp;D193&amp;"|"&amp;C193</f>
        <v>Sasol|Gender: female representation (South Africa)|FY2025</v>
      </c>
    </row>
    <row r="194" spans="1:11" ht="15" customHeight="1">
      <c r="A194" s="4" t="s">
        <v>137</v>
      </c>
      <c r="B194" s="4" t="s">
        <v>138</v>
      </c>
      <c r="C194" s="4" t="s">
        <v>60</v>
      </c>
      <c r="D194" s="4" t="s">
        <v>154</v>
      </c>
      <c r="E194" s="4" t="s">
        <v>15</v>
      </c>
      <c r="F194" s="4">
        <v>201910</v>
      </c>
      <c r="G194" s="4" t="s">
        <v>16</v>
      </c>
      <c r="H194" s="4" t="s">
        <v>155</v>
      </c>
      <c r="I194" s="4" t="s">
        <v>156</v>
      </c>
      <c r="J194" s="4" t="s">
        <v>157</v>
      </c>
      <c r="K194" s="3" t="str">
        <f>A194&amp;"|"&amp;D194&amp;"|"&amp;C194</f>
        <v>Sasol|External turnover|FY2021</v>
      </c>
    </row>
    <row r="195" spans="1:11" ht="15" customHeight="1">
      <c r="A195" s="4" t="s">
        <v>137</v>
      </c>
      <c r="B195" s="4" t="s">
        <v>138</v>
      </c>
      <c r="C195" s="4" t="s">
        <v>31</v>
      </c>
      <c r="D195" s="4" t="s">
        <v>154</v>
      </c>
      <c r="E195" s="4" t="s">
        <v>15</v>
      </c>
      <c r="F195" s="4">
        <v>272746</v>
      </c>
      <c r="G195" s="4" t="s">
        <v>16</v>
      </c>
      <c r="H195" s="4" t="s">
        <v>155</v>
      </c>
      <c r="I195" s="4" t="s">
        <v>156</v>
      </c>
      <c r="J195" s="4" t="s">
        <v>158</v>
      </c>
      <c r="K195" s="3" t="str">
        <f>A195&amp;"|"&amp;D195&amp;"|"&amp;C195</f>
        <v>Sasol|External turnover|FY2022</v>
      </c>
    </row>
    <row r="196" spans="1:11" ht="15" customHeight="1">
      <c r="A196" s="4" t="s">
        <v>137</v>
      </c>
      <c r="B196" s="4" t="s">
        <v>138</v>
      </c>
      <c r="C196" s="4" t="s">
        <v>34</v>
      </c>
      <c r="D196" s="4" t="s">
        <v>154</v>
      </c>
      <c r="E196" s="4" t="s">
        <v>15</v>
      </c>
      <c r="F196" s="4">
        <v>289696</v>
      </c>
      <c r="G196" s="4" t="s">
        <v>16</v>
      </c>
      <c r="H196" s="4" t="s">
        <v>155</v>
      </c>
      <c r="I196" s="4" t="s">
        <v>156</v>
      </c>
      <c r="J196" s="4" t="s">
        <v>159</v>
      </c>
      <c r="K196" s="3" t="str">
        <f>A196&amp;"|"&amp;D196&amp;"|"&amp;C196</f>
        <v>Sasol|External turnover|FY2023</v>
      </c>
    </row>
    <row r="197" spans="1:11" ht="15" customHeight="1">
      <c r="A197" s="4" t="s">
        <v>137</v>
      </c>
      <c r="B197" s="4" t="s">
        <v>138</v>
      </c>
      <c r="C197" s="4" t="s">
        <v>19</v>
      </c>
      <c r="D197" s="4" t="s">
        <v>154</v>
      </c>
      <c r="E197" s="4" t="s">
        <v>15</v>
      </c>
      <c r="F197" s="4">
        <v>275111</v>
      </c>
      <c r="G197" s="4" t="s">
        <v>16</v>
      </c>
      <c r="H197" s="4" t="s">
        <v>155</v>
      </c>
      <c r="I197" s="4" t="s">
        <v>156</v>
      </c>
      <c r="J197" s="4" t="s">
        <v>160</v>
      </c>
      <c r="K197" s="3" t="str">
        <f>A197&amp;"|"&amp;D197&amp;"|"&amp;C197</f>
        <v>Sasol|External turnover|FY2024</v>
      </c>
    </row>
    <row r="198" spans="1:11" ht="15" customHeight="1">
      <c r="A198" s="4" t="s">
        <v>137</v>
      </c>
      <c r="B198" s="4" t="s">
        <v>138</v>
      </c>
      <c r="C198" s="4" t="s">
        <v>13</v>
      </c>
      <c r="D198" s="4" t="s">
        <v>154</v>
      </c>
      <c r="E198" s="4" t="s">
        <v>15</v>
      </c>
      <c r="F198" s="4">
        <v>249096</v>
      </c>
      <c r="G198" s="4" t="s">
        <v>16</v>
      </c>
      <c r="H198" s="4" t="s">
        <v>155</v>
      </c>
      <c r="I198" s="4" t="s">
        <v>156</v>
      </c>
      <c r="J198" s="4" t="s">
        <v>161</v>
      </c>
      <c r="K198" s="3" t="str">
        <f>A198&amp;"|"&amp;D198&amp;"|"&amp;C198</f>
        <v>Sasol|External turnover|FY2025</v>
      </c>
    </row>
    <row r="199" spans="1:11" ht="15" customHeight="1">
      <c r="A199" s="4" t="s">
        <v>137</v>
      </c>
      <c r="B199" s="4" t="s">
        <v>138</v>
      </c>
      <c r="C199" s="4" t="s">
        <v>60</v>
      </c>
      <c r="D199" s="4" t="s">
        <v>104</v>
      </c>
      <c r="E199" s="4" t="s">
        <v>15</v>
      </c>
      <c r="F199" s="4">
        <v>48420</v>
      </c>
      <c r="G199" s="4" t="s">
        <v>16</v>
      </c>
      <c r="H199" s="4" t="s">
        <v>155</v>
      </c>
      <c r="I199" s="4" t="s">
        <v>156</v>
      </c>
      <c r="J199" s="4" t="s">
        <v>162</v>
      </c>
      <c r="K199" s="3" t="str">
        <f>A199&amp;"|"&amp;D199&amp;"|"&amp;C199</f>
        <v>Sasol|Adjusted EBITDA|FY2021</v>
      </c>
    </row>
    <row r="200" spans="1:11" ht="15" customHeight="1">
      <c r="A200" s="4" t="s">
        <v>137</v>
      </c>
      <c r="B200" s="4" t="s">
        <v>138</v>
      </c>
      <c r="C200" s="4" t="s">
        <v>31</v>
      </c>
      <c r="D200" s="4" t="s">
        <v>104</v>
      </c>
      <c r="E200" s="4" t="s">
        <v>15</v>
      </c>
      <c r="F200" s="4">
        <v>71843</v>
      </c>
      <c r="G200" s="4" t="s">
        <v>16</v>
      </c>
      <c r="H200" s="4" t="s">
        <v>155</v>
      </c>
      <c r="I200" s="4" t="s">
        <v>156</v>
      </c>
      <c r="J200" s="4" t="s">
        <v>163</v>
      </c>
      <c r="K200" s="3" t="str">
        <f>A200&amp;"|"&amp;D200&amp;"|"&amp;C200</f>
        <v>Sasol|Adjusted EBITDA|FY2022</v>
      </c>
    </row>
    <row r="201" spans="1:11" ht="15" customHeight="1">
      <c r="A201" s="4" t="s">
        <v>137</v>
      </c>
      <c r="B201" s="4" t="s">
        <v>138</v>
      </c>
      <c r="C201" s="4" t="s">
        <v>34</v>
      </c>
      <c r="D201" s="4" t="s">
        <v>104</v>
      </c>
      <c r="E201" s="4" t="s">
        <v>15</v>
      </c>
      <c r="F201" s="4">
        <v>66300</v>
      </c>
      <c r="G201" s="4" t="s">
        <v>16</v>
      </c>
      <c r="H201" s="4" t="s">
        <v>155</v>
      </c>
      <c r="I201" s="4" t="s">
        <v>156</v>
      </c>
      <c r="J201" s="4" t="s">
        <v>164</v>
      </c>
      <c r="K201" s="3" t="str">
        <f>A201&amp;"|"&amp;D201&amp;"|"&amp;C201</f>
        <v>Sasol|Adjusted EBITDA|FY2023</v>
      </c>
    </row>
    <row r="202" spans="1:11" ht="15" customHeight="1">
      <c r="A202" s="4" t="s">
        <v>137</v>
      </c>
      <c r="B202" s="4" t="s">
        <v>138</v>
      </c>
      <c r="C202" s="4" t="s">
        <v>19</v>
      </c>
      <c r="D202" s="4" t="s">
        <v>104</v>
      </c>
      <c r="E202" s="4" t="s">
        <v>15</v>
      </c>
      <c r="F202" s="4">
        <v>60012</v>
      </c>
      <c r="G202" s="4" t="s">
        <v>16</v>
      </c>
      <c r="H202" s="4" t="s">
        <v>155</v>
      </c>
      <c r="I202" s="4" t="s">
        <v>156</v>
      </c>
      <c r="J202" s="4" t="s">
        <v>160</v>
      </c>
      <c r="K202" s="3" t="str">
        <f>A202&amp;"|"&amp;D202&amp;"|"&amp;C202</f>
        <v>Sasol|Adjusted EBITDA|FY2024</v>
      </c>
    </row>
    <row r="203" spans="1:11" ht="15" customHeight="1">
      <c r="A203" s="4" t="s">
        <v>137</v>
      </c>
      <c r="B203" s="4" t="s">
        <v>138</v>
      </c>
      <c r="C203" s="4" t="s">
        <v>13</v>
      </c>
      <c r="D203" s="4" t="s">
        <v>104</v>
      </c>
      <c r="E203" s="4" t="s">
        <v>15</v>
      </c>
      <c r="F203" s="4">
        <v>51764</v>
      </c>
      <c r="G203" s="4" t="s">
        <v>16</v>
      </c>
      <c r="H203" s="4" t="s">
        <v>155</v>
      </c>
      <c r="I203" s="4" t="s">
        <v>156</v>
      </c>
      <c r="J203" s="4" t="s">
        <v>161</v>
      </c>
      <c r="K203" s="3" t="str">
        <f>A203&amp;"|"&amp;D203&amp;"|"&amp;C203</f>
        <v>Sasol|Adjusted EBITDA|FY2025</v>
      </c>
    </row>
    <row r="204" spans="1:11" ht="15" customHeight="1">
      <c r="A204" s="4" t="s">
        <v>137</v>
      </c>
      <c r="B204" s="4" t="s">
        <v>138</v>
      </c>
      <c r="C204" s="4" t="s">
        <v>60</v>
      </c>
      <c r="D204" s="4" t="s">
        <v>89</v>
      </c>
      <c r="E204" s="4" t="s">
        <v>15</v>
      </c>
      <c r="F204" s="4">
        <v>14.57</v>
      </c>
      <c r="G204" s="4" t="s">
        <v>165</v>
      </c>
      <c r="H204" s="4" t="s">
        <v>155</v>
      </c>
      <c r="I204" s="4" t="s">
        <v>156</v>
      </c>
      <c r="J204" s="4" t="s">
        <v>162</v>
      </c>
      <c r="K204" s="3" t="str">
        <f>A204&amp;"|"&amp;D204&amp;"|"&amp;C204</f>
        <v>Sasol|Basic earnings per share|FY2021</v>
      </c>
    </row>
    <row r="205" spans="1:11" ht="15" customHeight="1">
      <c r="A205" s="4" t="s">
        <v>137</v>
      </c>
      <c r="B205" s="4" t="s">
        <v>138</v>
      </c>
      <c r="C205" s="4" t="s">
        <v>31</v>
      </c>
      <c r="D205" s="4" t="s">
        <v>89</v>
      </c>
      <c r="E205" s="4" t="s">
        <v>15</v>
      </c>
      <c r="F205" s="4">
        <v>62.34</v>
      </c>
      <c r="G205" s="4" t="s">
        <v>165</v>
      </c>
      <c r="H205" s="4" t="s">
        <v>155</v>
      </c>
      <c r="I205" s="4" t="s">
        <v>156</v>
      </c>
      <c r="J205" s="4" t="s">
        <v>163</v>
      </c>
      <c r="K205" s="3" t="str">
        <f>A205&amp;"|"&amp;D205&amp;"|"&amp;C205</f>
        <v>Sasol|Basic earnings per share|FY2022</v>
      </c>
    </row>
    <row r="206" spans="1:11" ht="15" customHeight="1">
      <c r="A206" s="4" t="s">
        <v>137</v>
      </c>
      <c r="B206" s="4" t="s">
        <v>138</v>
      </c>
      <c r="C206" s="4" t="s">
        <v>34</v>
      </c>
      <c r="D206" s="4" t="s">
        <v>89</v>
      </c>
      <c r="E206" s="4" t="s">
        <v>15</v>
      </c>
      <c r="F206" s="4">
        <v>14</v>
      </c>
      <c r="G206" s="4" t="s">
        <v>165</v>
      </c>
      <c r="H206" s="4" t="s">
        <v>155</v>
      </c>
      <c r="I206" s="4" t="s">
        <v>156</v>
      </c>
      <c r="J206" s="4" t="s">
        <v>159</v>
      </c>
      <c r="K206" s="3" t="str">
        <f>A206&amp;"|"&amp;D206&amp;"|"&amp;C206</f>
        <v>Sasol|Basic earnings per share|FY2023</v>
      </c>
    </row>
    <row r="207" spans="1:11" ht="15" customHeight="1">
      <c r="A207" s="4" t="s">
        <v>137</v>
      </c>
      <c r="B207" s="4" t="s">
        <v>138</v>
      </c>
      <c r="C207" s="4" t="s">
        <v>19</v>
      </c>
      <c r="D207" s="4" t="s">
        <v>166</v>
      </c>
      <c r="E207" s="4" t="s">
        <v>15</v>
      </c>
      <c r="F207" s="4">
        <v>-69.94</v>
      </c>
      <c r="G207" s="4" t="s">
        <v>165</v>
      </c>
      <c r="H207" s="4" t="s">
        <v>155</v>
      </c>
      <c r="I207" s="4" t="s">
        <v>156</v>
      </c>
      <c r="J207" s="4" t="s">
        <v>160</v>
      </c>
      <c r="K207" s="3" t="str">
        <f>A207&amp;"|"&amp;D207&amp;"|"&amp;C207</f>
        <v>Sasol|Basic earnings/(loss) per share|FY2024</v>
      </c>
    </row>
    <row r="208" spans="1:11" ht="15" customHeight="1">
      <c r="A208" s="4" t="s">
        <v>137</v>
      </c>
      <c r="B208" s="4" t="s">
        <v>138</v>
      </c>
      <c r="C208" s="4" t="s">
        <v>13</v>
      </c>
      <c r="D208" s="4" t="s">
        <v>89</v>
      </c>
      <c r="E208" s="4" t="s">
        <v>15</v>
      </c>
      <c r="F208" s="4">
        <v>10.6</v>
      </c>
      <c r="G208" s="4" t="s">
        <v>165</v>
      </c>
      <c r="H208" s="4" t="s">
        <v>155</v>
      </c>
      <c r="I208" s="4" t="s">
        <v>156</v>
      </c>
      <c r="J208" s="4" t="s">
        <v>161</v>
      </c>
      <c r="K208" s="3" t="str">
        <f>A208&amp;"|"&amp;D208&amp;"|"&amp;C208</f>
        <v>Sasol|Basic earnings per share|FY2025</v>
      </c>
    </row>
    <row r="209" spans="1:11" ht="15" customHeight="1">
      <c r="A209" s="4" t="s">
        <v>137</v>
      </c>
      <c r="B209" s="4" t="s">
        <v>138</v>
      </c>
      <c r="C209" s="4" t="s">
        <v>60</v>
      </c>
      <c r="D209" s="4" t="s">
        <v>90</v>
      </c>
      <c r="E209" s="4" t="s">
        <v>15</v>
      </c>
      <c r="F209" s="4">
        <v>39.53</v>
      </c>
      <c r="G209" s="4" t="s">
        <v>165</v>
      </c>
      <c r="H209" s="4" t="s">
        <v>155</v>
      </c>
      <c r="I209" s="4" t="s">
        <v>156</v>
      </c>
      <c r="J209" s="4" t="s">
        <v>162</v>
      </c>
      <c r="K209" s="3" t="str">
        <f>A209&amp;"|"&amp;D209&amp;"|"&amp;C209</f>
        <v>Sasol|Headline earnings per share|FY2021</v>
      </c>
    </row>
    <row r="210" spans="1:11" ht="15" customHeight="1">
      <c r="A210" s="4" t="s">
        <v>137</v>
      </c>
      <c r="B210" s="4" t="s">
        <v>138</v>
      </c>
      <c r="C210" s="4" t="s">
        <v>31</v>
      </c>
      <c r="D210" s="4" t="s">
        <v>90</v>
      </c>
      <c r="E210" s="4" t="s">
        <v>15</v>
      </c>
      <c r="F210" s="4">
        <v>47.58</v>
      </c>
      <c r="G210" s="4" t="s">
        <v>165</v>
      </c>
      <c r="H210" s="4" t="s">
        <v>155</v>
      </c>
      <c r="I210" s="4" t="s">
        <v>156</v>
      </c>
      <c r="J210" s="4" t="s">
        <v>163</v>
      </c>
      <c r="K210" s="3" t="str">
        <f>A210&amp;"|"&amp;D210&amp;"|"&amp;C210</f>
        <v>Sasol|Headline earnings per share|FY2022</v>
      </c>
    </row>
    <row r="211" spans="1:11" ht="15" customHeight="1">
      <c r="A211" s="4" t="s">
        <v>137</v>
      </c>
      <c r="B211" s="4" t="s">
        <v>138</v>
      </c>
      <c r="C211" s="4" t="s">
        <v>34</v>
      </c>
      <c r="D211" s="4" t="s">
        <v>90</v>
      </c>
      <c r="E211" s="4" t="s">
        <v>15</v>
      </c>
      <c r="F211" s="4">
        <v>53.75</v>
      </c>
      <c r="G211" s="4" t="s">
        <v>165</v>
      </c>
      <c r="H211" s="4" t="s">
        <v>155</v>
      </c>
      <c r="I211" s="4" t="s">
        <v>156</v>
      </c>
      <c r="J211" s="4" t="s">
        <v>159</v>
      </c>
      <c r="K211" s="3" t="str">
        <f>A211&amp;"|"&amp;D211&amp;"|"&amp;C211</f>
        <v>Sasol|Headline earnings per share|FY2023</v>
      </c>
    </row>
    <row r="212" spans="1:11" ht="15" customHeight="1">
      <c r="A212" s="4" t="s">
        <v>137</v>
      </c>
      <c r="B212" s="4" t="s">
        <v>138</v>
      </c>
      <c r="C212" s="4" t="s">
        <v>19</v>
      </c>
      <c r="D212" s="4" t="s">
        <v>90</v>
      </c>
      <c r="E212" s="4" t="s">
        <v>15</v>
      </c>
      <c r="F212" s="4">
        <v>18.190000000000001</v>
      </c>
      <c r="G212" s="4" t="s">
        <v>165</v>
      </c>
      <c r="H212" s="4" t="s">
        <v>155</v>
      </c>
      <c r="I212" s="4" t="s">
        <v>156</v>
      </c>
      <c r="J212" s="4" t="s">
        <v>160</v>
      </c>
      <c r="K212" s="3" t="str">
        <f>A212&amp;"|"&amp;D212&amp;"|"&amp;C212</f>
        <v>Sasol|Headline earnings per share|FY2024</v>
      </c>
    </row>
    <row r="213" spans="1:11" ht="15" customHeight="1">
      <c r="A213" s="4" t="s">
        <v>137</v>
      </c>
      <c r="B213" s="4" t="s">
        <v>138</v>
      </c>
      <c r="C213" s="4" t="s">
        <v>13</v>
      </c>
      <c r="D213" s="4" t="s">
        <v>90</v>
      </c>
      <c r="E213" s="4" t="s">
        <v>15</v>
      </c>
      <c r="F213" s="4">
        <v>35.130000000000003</v>
      </c>
      <c r="G213" s="4" t="s">
        <v>165</v>
      </c>
      <c r="H213" s="4" t="s">
        <v>155</v>
      </c>
      <c r="I213" s="4" t="s">
        <v>156</v>
      </c>
      <c r="J213" s="4" t="s">
        <v>161</v>
      </c>
      <c r="K213" s="3" t="str">
        <f>A213&amp;"|"&amp;D213&amp;"|"&amp;C213</f>
        <v>Sasol|Headline earnings per share|FY2025</v>
      </c>
    </row>
    <row r="214" spans="1:11" ht="15" customHeight="1">
      <c r="A214" s="4" t="s">
        <v>137</v>
      </c>
      <c r="B214" s="4" t="s">
        <v>138</v>
      </c>
      <c r="C214" s="4" t="s">
        <v>19</v>
      </c>
      <c r="D214" s="4" t="s">
        <v>167</v>
      </c>
      <c r="E214" s="4" t="s">
        <v>15</v>
      </c>
      <c r="F214" s="4">
        <v>74501</v>
      </c>
      <c r="G214" s="4" t="s">
        <v>16</v>
      </c>
      <c r="H214" s="4" t="s">
        <v>155</v>
      </c>
      <c r="I214" s="4" t="s">
        <v>156</v>
      </c>
      <c r="J214" s="4" t="s">
        <v>160</v>
      </c>
      <c r="K214" s="3" t="str">
        <f>A214&amp;"|"&amp;D214&amp;"|"&amp;C214</f>
        <v>Sasol|Net debt (excl. leases)|FY2024</v>
      </c>
    </row>
    <row r="215" spans="1:11" ht="15" customHeight="1">
      <c r="A215" s="4" t="s">
        <v>137</v>
      </c>
      <c r="B215" s="4" t="s">
        <v>138</v>
      </c>
      <c r="C215" s="4" t="s">
        <v>13</v>
      </c>
      <c r="D215" s="4" t="s">
        <v>167</v>
      </c>
      <c r="E215" s="4" t="s">
        <v>15</v>
      </c>
      <c r="F215" s="4">
        <v>64964</v>
      </c>
      <c r="G215" s="4" t="s">
        <v>16</v>
      </c>
      <c r="H215" s="4" t="s">
        <v>155</v>
      </c>
      <c r="I215" s="4" t="s">
        <v>156</v>
      </c>
      <c r="J215" s="4" t="s">
        <v>161</v>
      </c>
      <c r="K215" s="3" t="str">
        <f>A215&amp;"|"&amp;D215&amp;"|"&amp;C215</f>
        <v>Sasol|Net debt (excl. leases)|FY2025</v>
      </c>
    </row>
    <row r="216" spans="1:11" ht="1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6" customWidth="1"/>
    <col min="2" max="2" width="55" customWidth="1"/>
    <col min="3" max="5" width="20" customWidth="1"/>
    <col min="6" max="6" width="16" customWidth="1"/>
    <col min="7" max="7" width="34" customWidth="1"/>
  </cols>
  <sheetData>
    <row r="1" spans="1:7" ht="24.75" customHeight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4</v>
      </c>
      <c r="F1" s="1" t="s">
        <v>172</v>
      </c>
      <c r="G1" s="1" t="s">
        <v>173</v>
      </c>
    </row>
    <row r="2" spans="1:7" ht="23.25" customHeight="1">
      <c r="A2" s="2" t="s">
        <v>14</v>
      </c>
      <c r="B2" s="2" t="s">
        <v>174</v>
      </c>
      <c r="C2" s="2" t="s">
        <v>175</v>
      </c>
      <c r="D2" s="2" t="s">
        <v>15</v>
      </c>
      <c r="E2" s="2" t="s">
        <v>176</v>
      </c>
      <c r="F2" s="2" t="s">
        <v>177</v>
      </c>
      <c r="G2" s="2" t="s">
        <v>178</v>
      </c>
    </row>
    <row r="3" spans="1:7" ht="23.25" customHeight="1">
      <c r="A3" s="2" t="s">
        <v>179</v>
      </c>
      <c r="B3" s="2" t="s">
        <v>180</v>
      </c>
      <c r="C3" s="2" t="s">
        <v>175</v>
      </c>
      <c r="D3" s="2" t="s">
        <v>15</v>
      </c>
      <c r="E3" s="2" t="s">
        <v>176</v>
      </c>
      <c r="F3" s="2" t="s">
        <v>177</v>
      </c>
      <c r="G3" s="2" t="s">
        <v>181</v>
      </c>
    </row>
    <row r="4" spans="1:7" ht="34.5" customHeight="1">
      <c r="A4" s="2" t="s">
        <v>182</v>
      </c>
      <c r="B4" s="2" t="s">
        <v>183</v>
      </c>
      <c r="C4" s="2" t="s">
        <v>184</v>
      </c>
      <c r="D4" s="2" t="s">
        <v>15</v>
      </c>
      <c r="E4" s="2" t="s">
        <v>176</v>
      </c>
      <c r="F4" s="2" t="s">
        <v>177</v>
      </c>
      <c r="G4" s="2" t="s">
        <v>185</v>
      </c>
    </row>
    <row r="5" spans="1:7" ht="23.25" customHeight="1">
      <c r="A5" s="2" t="s">
        <v>186</v>
      </c>
      <c r="B5" s="2" t="s">
        <v>187</v>
      </c>
      <c r="C5" s="2" t="s">
        <v>188</v>
      </c>
      <c r="D5" s="2" t="s">
        <v>15</v>
      </c>
      <c r="E5" s="2" t="s">
        <v>176</v>
      </c>
      <c r="F5" s="2" t="s">
        <v>177</v>
      </c>
      <c r="G5" s="2" t="s">
        <v>185</v>
      </c>
    </row>
    <row r="6" spans="1:7" ht="34.5" customHeight="1">
      <c r="A6" s="2" t="s">
        <v>189</v>
      </c>
      <c r="B6" s="2" t="s">
        <v>190</v>
      </c>
      <c r="C6" s="2" t="s">
        <v>23</v>
      </c>
      <c r="D6" s="2" t="s">
        <v>15</v>
      </c>
      <c r="E6" s="2" t="s">
        <v>176</v>
      </c>
      <c r="F6" s="2" t="s">
        <v>177</v>
      </c>
      <c r="G6" s="2" t="s">
        <v>191</v>
      </c>
    </row>
    <row r="7" spans="1:7" ht="23.25" customHeight="1">
      <c r="A7" s="2" t="s">
        <v>43</v>
      </c>
      <c r="B7" s="2" t="s">
        <v>192</v>
      </c>
      <c r="C7" s="2" t="s">
        <v>45</v>
      </c>
      <c r="D7" s="2" t="s">
        <v>193</v>
      </c>
      <c r="E7" s="2" t="s">
        <v>194</v>
      </c>
      <c r="F7" s="2" t="s">
        <v>177</v>
      </c>
      <c r="G7" s="2" t="s">
        <v>195</v>
      </c>
    </row>
    <row r="8" spans="1:7" ht="23.25" customHeight="1">
      <c r="A8" s="2" t="s">
        <v>46</v>
      </c>
      <c r="B8" s="2" t="s">
        <v>196</v>
      </c>
      <c r="C8" s="2" t="s">
        <v>45</v>
      </c>
      <c r="D8" s="2" t="s">
        <v>193</v>
      </c>
      <c r="E8" s="2" t="s">
        <v>194</v>
      </c>
      <c r="F8" s="2" t="s">
        <v>177</v>
      </c>
      <c r="G8" s="2" t="s">
        <v>195</v>
      </c>
    </row>
    <row r="9" spans="1:7" ht="23.25" customHeight="1">
      <c r="A9" s="2" t="s">
        <v>47</v>
      </c>
      <c r="B9" s="2" t="s">
        <v>197</v>
      </c>
      <c r="C9" s="2" t="s">
        <v>45</v>
      </c>
      <c r="D9" s="2" t="s">
        <v>193</v>
      </c>
      <c r="E9" s="2" t="s">
        <v>194</v>
      </c>
      <c r="F9" s="2" t="s">
        <v>177</v>
      </c>
      <c r="G9" s="2" t="s">
        <v>198</v>
      </c>
    </row>
    <row r="10" spans="1:7" ht="23.25" customHeight="1">
      <c r="A10" s="2" t="s">
        <v>199</v>
      </c>
      <c r="B10" s="2" t="s">
        <v>200</v>
      </c>
      <c r="C10" s="2" t="s">
        <v>201</v>
      </c>
      <c r="D10" s="2" t="s">
        <v>193</v>
      </c>
      <c r="E10" s="2" t="s">
        <v>194</v>
      </c>
      <c r="F10" s="2" t="s">
        <v>177</v>
      </c>
      <c r="G10" s="2" t="s">
        <v>202</v>
      </c>
    </row>
    <row r="11" spans="1:7" ht="23.25" customHeight="1">
      <c r="A11" s="2" t="s">
        <v>95</v>
      </c>
      <c r="B11" s="2" t="s">
        <v>203</v>
      </c>
      <c r="C11" s="2" t="s">
        <v>53</v>
      </c>
      <c r="D11" s="2" t="s">
        <v>204</v>
      </c>
      <c r="E11" s="2" t="s">
        <v>44</v>
      </c>
      <c r="F11" s="2" t="s">
        <v>177</v>
      </c>
      <c r="G11" s="2" t="s">
        <v>205</v>
      </c>
    </row>
    <row r="12" spans="1:7" ht="23.25" customHeight="1">
      <c r="A12" s="2" t="s">
        <v>50</v>
      </c>
      <c r="B12" s="2" t="s">
        <v>206</v>
      </c>
      <c r="C12" s="2" t="s">
        <v>51</v>
      </c>
      <c r="D12" s="2" t="s">
        <v>193</v>
      </c>
      <c r="E12" s="2" t="s">
        <v>44</v>
      </c>
      <c r="F12" s="2" t="s">
        <v>177</v>
      </c>
      <c r="G12" s="2" t="s">
        <v>205</v>
      </c>
    </row>
    <row r="13" spans="1:7" ht="34.5" customHeight="1">
      <c r="A13" s="2" t="s">
        <v>207</v>
      </c>
      <c r="B13" s="2" t="s">
        <v>208</v>
      </c>
      <c r="C13" s="2" t="s">
        <v>40</v>
      </c>
      <c r="D13" s="2" t="s">
        <v>209</v>
      </c>
      <c r="E13" s="2" t="s">
        <v>210</v>
      </c>
      <c r="F13" s="2" t="s">
        <v>177</v>
      </c>
      <c r="G13" s="2" t="s">
        <v>211</v>
      </c>
    </row>
    <row r="14" spans="1:7" ht="23.25" customHeight="1">
      <c r="A14" s="2" t="s">
        <v>41</v>
      </c>
      <c r="B14" s="2" t="s">
        <v>212</v>
      </c>
      <c r="C14" s="2" t="s">
        <v>42</v>
      </c>
      <c r="D14" s="2" t="s">
        <v>209</v>
      </c>
      <c r="E14" s="2" t="s">
        <v>210</v>
      </c>
      <c r="F14" s="2" t="s">
        <v>213</v>
      </c>
      <c r="G14" s="2" t="s">
        <v>211</v>
      </c>
    </row>
    <row r="15" spans="1:7" ht="23.25" customHeight="1">
      <c r="A15" s="2" t="s">
        <v>214</v>
      </c>
      <c r="B15" s="2" t="s">
        <v>215</v>
      </c>
      <c r="C15" s="2" t="s">
        <v>23</v>
      </c>
      <c r="D15" s="2" t="s">
        <v>216</v>
      </c>
      <c r="E15" s="2" t="s">
        <v>217</v>
      </c>
      <c r="F15" s="2" t="s">
        <v>177</v>
      </c>
      <c r="G15" s="2" t="s">
        <v>218</v>
      </c>
    </row>
    <row r="16" spans="1:7" ht="23.25" customHeight="1">
      <c r="A16" s="2" t="s">
        <v>219</v>
      </c>
      <c r="B16" s="2" t="s">
        <v>220</v>
      </c>
      <c r="C16" s="2" t="s">
        <v>221</v>
      </c>
      <c r="D16" s="2" t="s">
        <v>222</v>
      </c>
      <c r="E16" s="2" t="s">
        <v>223</v>
      </c>
      <c r="F16" s="2" t="s">
        <v>224</v>
      </c>
      <c r="G16" s="2" t="s">
        <v>225</v>
      </c>
    </row>
    <row r="17" spans="1:7" ht="23.25" customHeight="1">
      <c r="A17" s="2" t="s">
        <v>55</v>
      </c>
      <c r="B17" s="2" t="s">
        <v>226</v>
      </c>
      <c r="C17" s="2" t="s">
        <v>42</v>
      </c>
      <c r="D17" s="2" t="s">
        <v>209</v>
      </c>
      <c r="E17" s="2" t="s">
        <v>227</v>
      </c>
      <c r="F17" s="2" t="s">
        <v>213</v>
      </c>
      <c r="G17" s="2" t="s">
        <v>228</v>
      </c>
    </row>
    <row r="18" spans="1:7" ht="23.25" customHeight="1">
      <c r="A18" s="2" t="s">
        <v>229</v>
      </c>
      <c r="B18" s="2" t="s">
        <v>230</v>
      </c>
      <c r="C18" s="2" t="s">
        <v>16</v>
      </c>
      <c r="D18" s="2" t="s">
        <v>222</v>
      </c>
      <c r="E18" s="2" t="s">
        <v>39</v>
      </c>
      <c r="F18" s="2" t="s">
        <v>177</v>
      </c>
      <c r="G18" s="2" t="s">
        <v>231</v>
      </c>
    </row>
    <row r="19" spans="1:7" ht="23.25" customHeight="1">
      <c r="A19" s="2" t="s">
        <v>81</v>
      </c>
      <c r="B19" s="2" t="s">
        <v>232</v>
      </c>
      <c r="C19" s="2" t="s">
        <v>233</v>
      </c>
      <c r="D19" s="2" t="s">
        <v>193</v>
      </c>
      <c r="E19" s="2" t="s">
        <v>234</v>
      </c>
      <c r="F19" s="2" t="s">
        <v>177</v>
      </c>
      <c r="G19" s="2" t="s">
        <v>235</v>
      </c>
    </row>
    <row r="20" spans="1:7" ht="23.25" customHeight="1">
      <c r="A20" s="2" t="s">
        <v>75</v>
      </c>
      <c r="B20" s="2" t="s">
        <v>236</v>
      </c>
      <c r="C20" s="2" t="s">
        <v>76</v>
      </c>
      <c r="D20" s="2" t="s">
        <v>222</v>
      </c>
      <c r="E20" s="2" t="s">
        <v>39</v>
      </c>
      <c r="F20" s="2" t="s">
        <v>177</v>
      </c>
      <c r="G20" s="2" t="s">
        <v>235</v>
      </c>
    </row>
    <row r="21" spans="1:7" ht="34.5" customHeight="1">
      <c r="A21" s="2" t="s">
        <v>237</v>
      </c>
      <c r="B21" s="2" t="s">
        <v>238</v>
      </c>
      <c r="C21" s="2" t="s">
        <v>239</v>
      </c>
      <c r="D21" s="2" t="s">
        <v>240</v>
      </c>
      <c r="E21" s="2" t="s">
        <v>241</v>
      </c>
      <c r="F21" s="2" t="s">
        <v>242</v>
      </c>
      <c r="G21" s="2" t="s">
        <v>240</v>
      </c>
    </row>
    <row r="24" spans="1:7" ht="15" customHeight="1">
      <c r="A24" s="5" t="s">
        <v>243</v>
      </c>
    </row>
    <row r="26" spans="1:7" ht="15" customHeight="1">
      <c r="A26" s="6" t="s">
        <v>2</v>
      </c>
      <c r="B26" s="6" t="s">
        <v>244</v>
      </c>
      <c r="C26" s="6" t="s">
        <v>245</v>
      </c>
    </row>
    <row r="27" spans="1:7" ht="15" customHeight="1">
      <c r="A27" s="4" t="s">
        <v>60</v>
      </c>
      <c r="B27" s="4">
        <v>14.795500000000001</v>
      </c>
      <c r="C27" s="4" t="s">
        <v>246</v>
      </c>
    </row>
    <row r="28" spans="1:7" ht="15" customHeight="1">
      <c r="A28" s="4" t="s">
        <v>31</v>
      </c>
      <c r="B28" s="4">
        <v>16.372</v>
      </c>
      <c r="C28" s="4" t="s">
        <v>246</v>
      </c>
    </row>
    <row r="29" spans="1:7" ht="15" customHeight="1">
      <c r="A29" s="4" t="s">
        <v>34</v>
      </c>
      <c r="B29" s="4">
        <v>18.451899999999998</v>
      </c>
      <c r="C29" s="4" t="s">
        <v>246</v>
      </c>
    </row>
    <row r="30" spans="1:7" ht="15" customHeight="1">
      <c r="A30" s="4" t="s">
        <v>19</v>
      </c>
      <c r="B30" s="4">
        <v>18.3308</v>
      </c>
      <c r="C30" s="4" t="s">
        <v>246</v>
      </c>
    </row>
    <row r="31" spans="1:7" ht="15" customHeight="1">
      <c r="A31" s="4" t="s">
        <v>13</v>
      </c>
      <c r="B31" s="4">
        <v>17.876999999999999</v>
      </c>
      <c r="C31" s="4" t="s">
        <v>246</v>
      </c>
    </row>
    <row r="33" spans="1:7" ht="60" customHeight="1">
      <c r="A33" s="18" t="s">
        <v>247</v>
      </c>
      <c r="B33" s="18"/>
      <c r="C33" s="18"/>
      <c r="D33" s="18"/>
      <c r="E33" s="18"/>
      <c r="F33" s="18"/>
      <c r="G33" s="18"/>
    </row>
  </sheetData>
  <mergeCells count="1">
    <mergeCell ref="A33:G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tabSelected="1" zoomScaleNormal="100" workbookViewId="0">
      <selection activeCell="A2" sqref="A2:J2"/>
    </sheetView>
  </sheetViews>
  <sheetFormatPr defaultColWidth="8.7109375" defaultRowHeight="15"/>
  <cols>
    <col min="1" max="1" width="16" customWidth="1"/>
    <col min="2" max="2" width="34" customWidth="1"/>
    <col min="3" max="6" width="12" customWidth="1"/>
    <col min="7" max="7" width="14" customWidth="1"/>
    <col min="8" max="8" width="9" customWidth="1"/>
    <col min="9" max="9" width="12" customWidth="1"/>
    <col min="10" max="10" width="40" customWidth="1"/>
  </cols>
  <sheetData>
    <row r="1" spans="1:10" ht="18.75">
      <c r="A1" s="7" t="s">
        <v>248</v>
      </c>
    </row>
    <row r="2" spans="1:10" ht="30" customHeight="1">
      <c r="A2" s="17" t="s">
        <v>249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30" customHeight="1">
      <c r="A4" s="8" t="s">
        <v>0</v>
      </c>
      <c r="B4" s="8" t="s">
        <v>3</v>
      </c>
      <c r="C4" s="8" t="s">
        <v>250</v>
      </c>
      <c r="D4" s="8" t="s">
        <v>251</v>
      </c>
      <c r="E4" s="8" t="s">
        <v>252</v>
      </c>
      <c r="F4" s="8" t="s">
        <v>253</v>
      </c>
      <c r="G4" s="8" t="s">
        <v>254</v>
      </c>
      <c r="H4" s="8" t="s">
        <v>255</v>
      </c>
      <c r="I4" s="8" t="s">
        <v>256</v>
      </c>
      <c r="J4" s="8" t="s">
        <v>9</v>
      </c>
    </row>
    <row r="5" spans="1:10" ht="21.75" customHeight="1">
      <c r="A5" s="9" t="s">
        <v>11</v>
      </c>
      <c r="B5" s="9" t="s">
        <v>257</v>
      </c>
      <c r="C5" s="9">
        <f>IFERROR(INDEX(Dataset!$F$2:$F$1000,MATCH("AECI|Total carbon footprint (Scope 1+2)|FY2024",Dataset!$K$2:$K$1000,0)),"n/a")</f>
        <v>416337</v>
      </c>
      <c r="D5" s="9">
        <f>IFERROR(INDEX(Dataset!$F$2:$F$1000,MATCH("AECI|Total carbon footprint (Scope 1+2)|FY2025",Dataset!$K$2:$K$1000,0)),"n/a")</f>
        <v>365500</v>
      </c>
      <c r="E5" s="9">
        <f>IFERROR((D5-C5)/ABS(C5),"n/a")</f>
        <v>-0.12210540980023395</v>
      </c>
      <c r="F5" s="10" t="s">
        <v>258</v>
      </c>
      <c r="G5" s="9">
        <f>IFERROR(MIN(5,MAX(1,3-(D5-C5)/ABS(C5)*5)),3)</f>
        <v>3.6105270490011696</v>
      </c>
      <c r="H5" s="11">
        <v>0.2</v>
      </c>
      <c r="I5" s="9">
        <f>G5*H5</f>
        <v>0.72210540980023397</v>
      </c>
      <c r="J5" s="12" t="s">
        <v>259</v>
      </c>
    </row>
    <row r="6" spans="1:10" ht="15" customHeight="1">
      <c r="A6" s="9" t="s">
        <v>11</v>
      </c>
      <c r="B6" s="9" t="s">
        <v>260</v>
      </c>
      <c r="C6" s="9">
        <f>IFERROR(INDEX(Dataset!$F$2:$F$1000,MATCH("AECI|TRIR (Total Recordable Injury Rate)|FY2024",Dataset!$K$2:$K$1000,0)),"n/a")</f>
        <v>0.31</v>
      </c>
      <c r="D6" s="9">
        <f>IFERROR(INDEX(Dataset!$F$2:$F$1000,MATCH("AECI|TRIR (Total Recordable Injury Rate)|FY2025",Dataset!$K$2:$K$1000,0)),"n/a")</f>
        <v>0.2</v>
      </c>
      <c r="E6" s="9">
        <f>IFERROR((D6-C6)/ABS(C6),"n/a")</f>
        <v>-0.35483870967741932</v>
      </c>
      <c r="F6" s="10" t="s">
        <v>258</v>
      </c>
      <c r="G6" s="9">
        <f>IFERROR(MIN(5,MAX(1,3-(D6-C6)/ABS(C6)*5)),3)</f>
        <v>4.7741935483870961</v>
      </c>
      <c r="H6" s="11">
        <v>0.15</v>
      </c>
      <c r="I6" s="9">
        <f>G6*H6</f>
        <v>0.71612903225806435</v>
      </c>
      <c r="J6" s="12" t="s">
        <v>261</v>
      </c>
    </row>
    <row r="7" spans="1:10" ht="21.75" customHeight="1">
      <c r="A7" s="9" t="s">
        <v>11</v>
      </c>
      <c r="B7" s="9" t="s">
        <v>262</v>
      </c>
      <c r="C7" s="9">
        <f>IFERROR(INDEX(Dataset!$F$2:$F$1000,MATCH("AECI|EBITDA margin|FY2024",Dataset!$K$2:$K$1000,0)),"n/a")</f>
        <v>9</v>
      </c>
      <c r="D7" s="9">
        <f>IFERROR(INDEX(Dataset!$F$2:$F$1000,MATCH("AECI|EBITDA margin|FY2025",Dataset!$K$2:$K$1000,0)),"n/a")</f>
        <v>11</v>
      </c>
      <c r="E7" s="9">
        <f>IFERROR((D7-C7)/ABS(C7),"n/a")</f>
        <v>0.22222222222222221</v>
      </c>
      <c r="F7" s="10" t="s">
        <v>263</v>
      </c>
      <c r="G7" s="9">
        <f>IFERROR(MIN(5,MAX(1,3+(D7-C7)/ABS(C7)*5)),3)</f>
        <v>4.1111111111111107</v>
      </c>
      <c r="H7" s="11">
        <v>0.2</v>
      </c>
      <c r="I7" s="9">
        <f>G7*H7</f>
        <v>0.82222222222222219</v>
      </c>
      <c r="J7" s="12" t="s">
        <v>264</v>
      </c>
    </row>
    <row r="8" spans="1:10" ht="15" customHeight="1">
      <c r="A8" s="9" t="s">
        <v>11</v>
      </c>
      <c r="B8" s="9" t="s">
        <v>265</v>
      </c>
      <c r="C8" s="9">
        <f>IFERROR(INDEX(Dataset!$F$2:$F$1000,MATCH("AECI|ROIC|FY2024",Dataset!$K$2:$K$1000,0)),"n/a")</f>
        <v>9</v>
      </c>
      <c r="D8" s="9">
        <f>IFERROR(INDEX(Dataset!$F$2:$F$1000,MATCH("AECI|ROIC|FY2025",Dataset!$K$2:$K$1000,0)),"n/a")</f>
        <v>13</v>
      </c>
      <c r="E8" s="9">
        <f>IFERROR((D8-C8)/ABS(C8),"n/a")</f>
        <v>0.44444444444444442</v>
      </c>
      <c r="F8" s="10" t="s">
        <v>263</v>
      </c>
      <c r="G8" s="9">
        <f>IFERROR(MIN(5,MAX(1,3+(D8-C8)/ABS(C8)*5)),3)</f>
        <v>5</v>
      </c>
      <c r="H8" s="11">
        <v>0.2</v>
      </c>
      <c r="I8" s="9">
        <f>G8*H8</f>
        <v>1</v>
      </c>
      <c r="J8" s="12" t="s">
        <v>266</v>
      </c>
    </row>
    <row r="9" spans="1:10" ht="15" customHeight="1">
      <c r="A9" s="9" t="s">
        <v>11</v>
      </c>
      <c r="B9" s="9" t="s">
        <v>267</v>
      </c>
      <c r="C9" s="9">
        <f>IFERROR(INDEX(Dataset!$F$2:$F$1000,MATCH("AECI|Female representation, top/senior/middle mgmt|FY2024",Dataset!$K$2:$K$1000,0)),"n/a")</f>
        <v>29</v>
      </c>
      <c r="D9" s="9">
        <f>IFERROR(INDEX(Dataset!$F$2:$F$1000,MATCH("AECI|Female representation, top/senior/middle mgmt|FY2025",Dataset!$K$2:$K$1000,0)),"n/a")</f>
        <v>30</v>
      </c>
      <c r="E9" s="9">
        <f>IFERROR((D9-C9)/ABS(C9),"n/a")</f>
        <v>3.4482758620689655E-2</v>
      </c>
      <c r="F9" s="10" t="s">
        <v>263</v>
      </c>
      <c r="G9" s="9">
        <f>IFERROR(MIN(5,MAX(1,3+(D9-C9)/ABS(C9)*5)),3)</f>
        <v>3.1724137931034484</v>
      </c>
      <c r="H9" s="11">
        <v>0.15</v>
      </c>
      <c r="I9" s="9">
        <f>G9*H9</f>
        <v>0.47586206896551725</v>
      </c>
      <c r="J9" s="12" t="s">
        <v>268</v>
      </c>
    </row>
    <row r="10" spans="1:10" ht="15" customHeight="1">
      <c r="A10" s="9" t="s">
        <v>11</v>
      </c>
      <c r="B10" s="9" t="s">
        <v>269</v>
      </c>
      <c r="C10" s="9">
        <f>IFERROR(INDEX(Dataset!$F$2:$F$1000,MATCH("AECI|Net debt/EBITDA|FY2024",Dataset!$K$2:$K$1000,0)),"n/a")</f>
        <v>1.2</v>
      </c>
      <c r="D10" s="9">
        <f>IFERROR(INDEX(Dataset!$F$2:$F$1000,MATCH("AECI|Net debt/EBITDA|FY2025",Dataset!$K$2:$K$1000,0)),"n/a")</f>
        <v>0.1</v>
      </c>
      <c r="E10" s="9">
        <f>IFERROR((D10-C10)/ABS(C10),"n/a")</f>
        <v>-0.91666666666666663</v>
      </c>
      <c r="F10" s="10" t="s">
        <v>258</v>
      </c>
      <c r="G10" s="9">
        <f>IFERROR(MIN(5,MAX(1,3-(D10-C10)/ABS(C10)*5)),3)</f>
        <v>5</v>
      </c>
      <c r="H10" s="11">
        <v>0.1</v>
      </c>
      <c r="I10" s="9">
        <f>G10*H10</f>
        <v>0.5</v>
      </c>
      <c r="J10" s="12" t="s">
        <v>270</v>
      </c>
    </row>
    <row r="11" spans="1:10" ht="15" customHeight="1">
      <c r="A11" s="13" t="s">
        <v>11</v>
      </c>
      <c r="B11" s="13" t="s">
        <v>271</v>
      </c>
      <c r="C11" s="14"/>
      <c r="D11" s="14"/>
      <c r="E11" s="14"/>
      <c r="F11" s="14"/>
      <c r="G11" s="14"/>
      <c r="H11" s="14"/>
      <c r="I11" s="13">
        <f>SUM(I5:I10)/SUM(H5:H10)</f>
        <v>4.2363187332460379</v>
      </c>
      <c r="J11" s="14"/>
    </row>
    <row r="13" spans="1:10" ht="15" customHeight="1">
      <c r="A13" s="9" t="s">
        <v>58</v>
      </c>
      <c r="B13" s="9" t="s">
        <v>41</v>
      </c>
      <c r="C13" s="9">
        <f>IFERROR(INDEX(Dataset!$F$2:$F$1000,MATCH("ArcelorMittal SA|Employee &amp; contractor fatalities|FY2021",Dataset!$K$2:$K$1000,0)),"n/a")</f>
        <v>6</v>
      </c>
      <c r="D13" s="9">
        <f>IFERROR(INDEX(Dataset!$F$2:$F$1000,MATCH("ArcelorMittal SA|Employee &amp; contractor fatalities|FY2025",Dataset!$K$2:$K$1000,0)),"n/a")</f>
        <v>1</v>
      </c>
      <c r="E13" s="9">
        <f>IFERROR((D13-C13)/ABS(C13),"n/a")</f>
        <v>-0.83333333333333337</v>
      </c>
      <c r="F13" s="10" t="s">
        <v>258</v>
      </c>
      <c r="G13" s="9">
        <f>IFERROR(MIN(5,MAX(1,3-(D13-C13)/ABS(C13)*5)),3)</f>
        <v>5</v>
      </c>
      <c r="H13" s="11">
        <v>0.2</v>
      </c>
      <c r="I13" s="9">
        <f>G13*H13</f>
        <v>1</v>
      </c>
      <c r="J13" s="12"/>
    </row>
    <row r="14" spans="1:10" ht="15" customHeight="1">
      <c r="A14" s="9" t="s">
        <v>58</v>
      </c>
      <c r="B14" s="9" t="s">
        <v>64</v>
      </c>
      <c r="C14" s="9">
        <f>IFERROR(INDEX(Dataset!$F$2:$F$1000,MATCH("ArcelorMittal SA|LTIFR|FY2021",Dataset!$K$2:$K$1000,0)),"n/a")</f>
        <v>0.98</v>
      </c>
      <c r="D14" s="9">
        <f>IFERROR(INDEX(Dataset!$F$2:$F$1000,MATCH("ArcelorMittal SA|LTIFR|FY2025",Dataset!$K$2:$K$1000,0)),"n/a")</f>
        <v>0.62</v>
      </c>
      <c r="E14" s="9">
        <f>IFERROR((D14-C14)/ABS(C14),"n/a")</f>
        <v>-0.36734693877551022</v>
      </c>
      <c r="F14" s="10" t="s">
        <v>258</v>
      </c>
      <c r="G14" s="9">
        <f>IFERROR(MIN(5,MAX(1,3-(D14-C14)/ABS(C14)*5)),3)</f>
        <v>4.8367346938775508</v>
      </c>
      <c r="H14" s="11">
        <v>0.15</v>
      </c>
      <c r="I14" s="9">
        <f>G14*H14</f>
        <v>0.72551020408163258</v>
      </c>
      <c r="J14" s="12"/>
    </row>
    <row r="15" spans="1:10" ht="15" customHeight="1">
      <c r="A15" s="9" t="s">
        <v>58</v>
      </c>
      <c r="B15" s="9" t="s">
        <v>272</v>
      </c>
      <c r="C15" s="9">
        <f>IFERROR(INDEX(Dataset!$F$2:$F$1000,MATCH("ArcelorMittal SA|CO2 emissions intensity|FY2021",Dataset!$K$2:$K$1000,0)),"n/a")</f>
        <v>2.72</v>
      </c>
      <c r="D15" s="9">
        <f>IFERROR(INDEX(Dataset!$F$2:$F$1000,MATCH("ArcelorMittal SA|CO2 emissions intensity|FY2025",Dataset!$K$2:$K$1000,0)),"n/a")</f>
        <v>3.26</v>
      </c>
      <c r="E15" s="9">
        <f>IFERROR((D15-C15)/ABS(C15),"n/a")</f>
        <v>0.1985294117647057</v>
      </c>
      <c r="F15" s="10" t="s">
        <v>258</v>
      </c>
      <c r="G15" s="9">
        <f>IFERROR(MIN(5,MAX(1,3-(D15-C15)/ABS(C15)*5)),3)</f>
        <v>2.0073529411764715</v>
      </c>
      <c r="H15" s="11">
        <v>0.2</v>
      </c>
      <c r="I15" s="9">
        <f>G15*H15</f>
        <v>0.4014705882352943</v>
      </c>
      <c r="J15" s="12" t="s">
        <v>273</v>
      </c>
    </row>
    <row r="16" spans="1:10" ht="15" customHeight="1">
      <c r="A16" s="9" t="s">
        <v>58</v>
      </c>
      <c r="B16" s="9" t="s">
        <v>274</v>
      </c>
      <c r="C16" s="9">
        <f>IFERROR(INDEX(Dataset!$F$2:$F$1000,MATCH("ArcelorMittal SA|Return on capital employed|FY2021",Dataset!$K$2:$K$1000,0)),"n/a")</f>
        <v>53.9</v>
      </c>
      <c r="D16" s="9">
        <f>IFERROR(INDEX(Dataset!$F$2:$F$1000,MATCH("ArcelorMittal SA|Return on capital employed|FY2025",Dataset!$K$2:$K$1000,0)),"n/a")</f>
        <v>-16.07</v>
      </c>
      <c r="E16" s="9">
        <f>IFERROR((D16-C16)/ABS(C16),"n/a")</f>
        <v>-1.2981447124304268</v>
      </c>
      <c r="F16" s="10" t="s">
        <v>263</v>
      </c>
      <c r="G16" s="9">
        <f>IFERROR(MIN(5,MAX(1,3+(D16-C16)/ABS(C16)*5)),3)</f>
        <v>1</v>
      </c>
      <c r="H16" s="11">
        <v>0.25</v>
      </c>
      <c r="I16" s="9">
        <f>G16*H16</f>
        <v>0.25</v>
      </c>
      <c r="J16" s="12" t="s">
        <v>275</v>
      </c>
    </row>
    <row r="17" spans="1:10" ht="15" customHeight="1">
      <c r="A17" s="9" t="s">
        <v>58</v>
      </c>
      <c r="B17" s="9" t="s">
        <v>77</v>
      </c>
      <c r="C17" s="9">
        <f>IFERROR(INDEX(Dataset!$F$2:$F$1000,MATCH("ArcelorMittal SA|B-BBEE compliance score|FY2021",Dataset!$K$2:$K$1000,0)),"n/a")</f>
        <v>8</v>
      </c>
      <c r="D17" s="9">
        <f>IFERROR(INDEX(Dataset!$F$2:$F$1000,MATCH("ArcelorMittal SA|B-BBEE compliance score|FY2025",Dataset!$K$2:$K$1000,0)),"n/a")</f>
        <v>4</v>
      </c>
      <c r="E17" s="9">
        <f>IFERROR((D17-C17)/ABS(C17),"n/a")</f>
        <v>-0.5</v>
      </c>
      <c r="F17" s="10" t="s">
        <v>263</v>
      </c>
      <c r="G17" s="9">
        <f>IFERROR(MIN(5,MAX(1,3+(D17-C17)/ABS(C17)*5)),3)</f>
        <v>1</v>
      </c>
      <c r="H17" s="11">
        <v>0.1</v>
      </c>
      <c r="I17" s="9">
        <f>G17*H17</f>
        <v>0.1</v>
      </c>
      <c r="J17" s="12" t="s">
        <v>276</v>
      </c>
    </row>
    <row r="18" spans="1:10" ht="15" customHeight="1">
      <c r="A18" s="9" t="s">
        <v>58</v>
      </c>
      <c r="B18" s="9" t="s">
        <v>277</v>
      </c>
      <c r="C18" s="9">
        <f>IFERROR(INDEX(Dataset!$F$2:$F$1000,MATCH("ArcelorMittal SA|Net debt position|FY2021",Dataset!$K$2:$K$1000,0)),"n/a")</f>
        <v>1258</v>
      </c>
      <c r="D18" s="9">
        <f>IFERROR(INDEX(Dataset!$F$2:$F$1000,MATCH("ArcelorMittal SA|Net debt position|FY2025",Dataset!$K$2:$K$1000,0)),"n/a")</f>
        <v>6763</v>
      </c>
      <c r="E18" s="9">
        <f>IFERROR((D18-C18)/ABS(C18),"n/a")</f>
        <v>4.375993640699523</v>
      </c>
      <c r="F18" s="10" t="s">
        <v>258</v>
      </c>
      <c r="G18" s="9">
        <f>IFERROR(MIN(5,MAX(1,3-(D18-C18)/ABS(C18)*5)),3)</f>
        <v>1</v>
      </c>
      <c r="H18" s="11">
        <v>0.1</v>
      </c>
      <c r="I18" s="9">
        <f>G18*H18</f>
        <v>0.1</v>
      </c>
      <c r="J18" s="12" t="s">
        <v>278</v>
      </c>
    </row>
    <row r="19" spans="1:10" ht="15" customHeight="1">
      <c r="A19" s="13" t="s">
        <v>58</v>
      </c>
      <c r="B19" s="13" t="s">
        <v>271</v>
      </c>
      <c r="C19" s="14"/>
      <c r="D19" s="14"/>
      <c r="E19" s="14"/>
      <c r="F19" s="14"/>
      <c r="G19" s="14"/>
      <c r="H19" s="14"/>
      <c r="I19" s="13">
        <f>SUM(I13:I18)/SUM(H13:H18)</f>
        <v>2.576980792316927</v>
      </c>
      <c r="J19" s="14"/>
    </row>
    <row r="21" spans="1:10" ht="15" customHeight="1">
      <c r="A21" s="9" t="s">
        <v>84</v>
      </c>
      <c r="B21" s="9" t="s">
        <v>279</v>
      </c>
      <c r="C21" s="9">
        <f>IFERROR(INDEX(Dataset!$F$2:$F$1000,MATCH("Omnia|Scope 1 GHG emissions|FY2021",Dataset!$K$2:$K$1000,0)),"n/a")</f>
        <v>178139</v>
      </c>
      <c r="D21" s="9">
        <f>IFERROR(INDEX(Dataset!$F$2:$F$1000,MATCH("Omnia|Scope 1 GHG emissions|FY2025",Dataset!$K$2:$K$1000,0)),"n/a")</f>
        <v>70437</v>
      </c>
      <c r="E21" s="9">
        <f>IFERROR((D21-C21)/ABS(C21),"n/a")</f>
        <v>-0.60459528794929807</v>
      </c>
      <c r="F21" s="10" t="s">
        <v>258</v>
      </c>
      <c r="G21" s="9">
        <f>IFERROR(MIN(5,MAX(1,3-(D21-C21)/ABS(C21)*5)),3)</f>
        <v>5</v>
      </c>
      <c r="H21" s="11">
        <v>0.2</v>
      </c>
      <c r="I21" s="9">
        <f>G21*H21</f>
        <v>1</v>
      </c>
      <c r="J21" s="12"/>
    </row>
    <row r="22" spans="1:10" ht="15" customHeight="1">
      <c r="A22" s="9" t="s">
        <v>84</v>
      </c>
      <c r="B22" s="9" t="s">
        <v>280</v>
      </c>
      <c r="C22" s="9">
        <f>IFERROR(INDEX(Dataset!$F$2:$F$1000,MATCH("Omnia|Scope 2 GHG emissions|FY2021",Dataset!$K$2:$K$1000,0)),"n/a")</f>
        <v>83361</v>
      </c>
      <c r="D22" s="9">
        <f>IFERROR(INDEX(Dataset!$F$2:$F$1000,MATCH("Omnia|Scope 2 GHG emissions|FY2025",Dataset!$K$2:$K$1000,0)),"n/a")</f>
        <v>69960</v>
      </c>
      <c r="E22" s="9">
        <f>IFERROR((D22-C22)/ABS(C22),"n/a")</f>
        <v>-0.16075862813545902</v>
      </c>
      <c r="F22" s="10" t="s">
        <v>258</v>
      </c>
      <c r="G22" s="9">
        <f>IFERROR(MIN(5,MAX(1,3-(D22-C22)/ABS(C22)*5)),3)</f>
        <v>3.8037931406772953</v>
      </c>
      <c r="H22" s="11">
        <v>0.15</v>
      </c>
      <c r="I22" s="9">
        <f>G22*H22</f>
        <v>0.57056897110159432</v>
      </c>
      <c r="J22" s="12"/>
    </row>
    <row r="23" spans="1:10" ht="15" customHeight="1">
      <c r="A23" s="9" t="s">
        <v>84</v>
      </c>
      <c r="B23" s="9" t="s">
        <v>281</v>
      </c>
      <c r="C23" s="9">
        <f>IFERROR(INDEX(Dataset!$F$2:$F$1000,MATCH("Omnia|Revenue|FY2021",Dataset!$K$2:$K$1000,0)),"n/a")</f>
        <v>16436</v>
      </c>
      <c r="D23" s="9">
        <f>IFERROR(INDEX(Dataset!$F$2:$F$1000,MATCH("Omnia|Revenue|FY2025",Dataset!$K$2:$K$1000,0)),"n/a")</f>
        <v>22818</v>
      </c>
      <c r="E23" s="9">
        <f>IFERROR((D23-C23)/ABS(C23),"n/a")</f>
        <v>0.38829398880506205</v>
      </c>
      <c r="F23" s="10" t="s">
        <v>263</v>
      </c>
      <c r="G23" s="9">
        <f>IFERROR(MIN(5,MAX(1,3+(D23-C23)/ABS(C23)*5)),3)</f>
        <v>4.94146994402531</v>
      </c>
      <c r="H23" s="11">
        <v>0.2</v>
      </c>
      <c r="I23" s="9">
        <f>G23*H23</f>
        <v>0.98829398880506203</v>
      </c>
      <c r="J23" s="12"/>
    </row>
    <row r="24" spans="1:10" ht="15" customHeight="1">
      <c r="A24" s="9" t="s">
        <v>84</v>
      </c>
      <c r="B24" s="9" t="s">
        <v>282</v>
      </c>
      <c r="C24" s="9">
        <f>IFERROR(INDEX(Dataset!$F$2:$F$1000,MATCH("Omnia|Headline earnings per share|FY2021",Dataset!$K$2:$K$1000,0)),"n/a")</f>
        <v>361</v>
      </c>
      <c r="D24" s="9">
        <f>IFERROR(INDEX(Dataset!$F$2:$F$1000,MATCH("Omnia|Headline earnings per share|FY2025",Dataset!$K$2:$K$1000,0)),"n/a")</f>
        <v>704</v>
      </c>
      <c r="E24" s="9">
        <f>IFERROR((D24-C24)/ABS(C24),"n/a")</f>
        <v>0.95013850415512469</v>
      </c>
      <c r="F24" s="10" t="s">
        <v>263</v>
      </c>
      <c r="G24" s="9">
        <f>IFERROR(MIN(5,MAX(1,3+(D24-C24)/ABS(C24)*5)),3)</f>
        <v>5</v>
      </c>
      <c r="H24" s="11">
        <v>0.25</v>
      </c>
      <c r="I24" s="9">
        <f>G24*H24</f>
        <v>1.25</v>
      </c>
      <c r="J24" s="12"/>
    </row>
    <row r="25" spans="1:10" ht="15" customHeight="1">
      <c r="A25" s="9" t="s">
        <v>84</v>
      </c>
      <c r="B25" s="9" t="s">
        <v>146</v>
      </c>
      <c r="C25" s="9">
        <f>IFERROR(INDEX(Dataset!$F$2:$F$1000,MATCH("Omnia|Recordable case rate (RCR)|FY2024",Dataset!$K$2:$K$1000,0)),"n/a")</f>
        <v>0.05</v>
      </c>
      <c r="D25" s="9">
        <f>IFERROR(INDEX(Dataset!$F$2:$F$1000,MATCH("Omnia|Recordable case rate (RCR)|FY2025",Dataset!$K$2:$K$1000,0)),"n/a")</f>
        <v>0.2</v>
      </c>
      <c r="E25" s="9">
        <f>IFERROR((D25-C25)/ABS(C25),"n/a")</f>
        <v>3.0000000000000004</v>
      </c>
      <c r="F25" s="10" t="s">
        <v>258</v>
      </c>
      <c r="G25" s="9">
        <f>IFERROR(MIN(5,MAX(1,3-(D25-C25)/ABS(C25)*5)),3)</f>
        <v>1</v>
      </c>
      <c r="H25" s="11">
        <v>0.1</v>
      </c>
      <c r="I25" s="9">
        <f>G25*H25</f>
        <v>0.1</v>
      </c>
      <c r="J25" s="12" t="s">
        <v>283</v>
      </c>
    </row>
    <row r="26" spans="1:10" ht="15" customHeight="1">
      <c r="A26" s="9" t="s">
        <v>84</v>
      </c>
      <c r="B26" s="9" t="s">
        <v>284</v>
      </c>
      <c r="C26" s="9">
        <f>IFERROR(INDEX(Dataset!$F$2:$F$1000,MATCH("Omnia|Renewable energy use|FY2024",Dataset!$K$2:$K$1000,0)),"n/a")</f>
        <v>12976</v>
      </c>
      <c r="D26" s="9">
        <f>IFERROR(INDEX(Dataset!$F$2:$F$1000,MATCH("Omnia|Renewable energy use|FY2025",Dataset!$K$2:$K$1000,0)),"n/a")</f>
        <v>20109</v>
      </c>
      <c r="E26" s="9">
        <f>IFERROR((D26-C26)/ABS(C26),"n/a")</f>
        <v>0.54970715166461159</v>
      </c>
      <c r="F26" s="10" t="s">
        <v>263</v>
      </c>
      <c r="G26" s="9">
        <f>IFERROR(MIN(5,MAX(1,3+(D26-C26)/ABS(C26)*5)),3)</f>
        <v>5</v>
      </c>
      <c r="H26" s="11">
        <v>0.1</v>
      </c>
      <c r="I26" s="9">
        <f>G26*H26</f>
        <v>0.5</v>
      </c>
      <c r="J26" s="12" t="s">
        <v>285</v>
      </c>
    </row>
    <row r="27" spans="1:10" ht="15" customHeight="1">
      <c r="A27" s="13" t="s">
        <v>84</v>
      </c>
      <c r="B27" s="13" t="s">
        <v>271</v>
      </c>
      <c r="C27" s="14"/>
      <c r="D27" s="14"/>
      <c r="E27" s="14"/>
      <c r="F27" s="14"/>
      <c r="G27" s="14"/>
      <c r="H27" s="14"/>
      <c r="I27" s="13">
        <f>SUM(I21:I26)/SUM(H21:H26)</f>
        <v>4.4088629599066564</v>
      </c>
      <c r="J27" s="14"/>
    </row>
    <row r="29" spans="1:10" ht="15" customHeight="1">
      <c r="A29" s="9" t="s">
        <v>97</v>
      </c>
      <c r="B29" s="9" t="s">
        <v>286</v>
      </c>
      <c r="C29" s="9">
        <f>IFERROR(INDEX(Dataset!$F$2:$F$1000,MATCH("Sappi|Sales|FY2021",Dataset!$K$2:$K$1000,0)),"n/a")</f>
        <v>77898</v>
      </c>
      <c r="D29" s="9">
        <f>IFERROR(INDEX(Dataset!$F$2:$F$1000,MATCH("Sappi|Sales|FY2025",Dataset!$K$2:$K$1000,0)),"n/a")</f>
        <v>96893</v>
      </c>
      <c r="E29" s="9">
        <f>IFERROR((D29-C29)/ABS(C29),"n/a")</f>
        <v>0.24384451462168477</v>
      </c>
      <c r="F29" s="10" t="s">
        <v>263</v>
      </c>
      <c r="G29" s="9">
        <f>IFERROR(MIN(5,MAX(1,3+(D29-C29)/ABS(C29)*5)),3)</f>
        <v>4.2192225731084241</v>
      </c>
      <c r="H29" s="11">
        <v>0.15</v>
      </c>
      <c r="I29" s="9">
        <f>G29*H29</f>
        <v>0.63288338596626359</v>
      </c>
      <c r="J29" s="9" t="s">
        <v>287</v>
      </c>
    </row>
    <row r="30" spans="1:10" ht="15" customHeight="1">
      <c r="A30" s="9" t="s">
        <v>97</v>
      </c>
      <c r="B30" s="9" t="s">
        <v>288</v>
      </c>
      <c r="C30" s="9">
        <f>IFERROR(INDEX(Dataset!$F$2:$F$1000,MATCH("Sappi|Adjusted EBITDA|FY2021",Dataset!$K$2:$K$1000,0)),"n/a")</f>
        <v>7871</v>
      </c>
      <c r="D30" s="9">
        <f>IFERROR(INDEX(Dataset!$F$2:$F$1000,MATCH("Sappi|Adjusted EBITDA|FY2025",Dataset!$K$2:$K$1000,0)),"n/a")</f>
        <v>8956</v>
      </c>
      <c r="E30" s="9">
        <f>IFERROR((D30-C30)/ABS(C30),"n/a")</f>
        <v>0.13784779570575531</v>
      </c>
      <c r="F30" s="10" t="s">
        <v>263</v>
      </c>
      <c r="G30" s="9">
        <f>IFERROR(MIN(5,MAX(1,3+(D30-C30)/ABS(C30)*5)),3)</f>
        <v>3.6892389785287767</v>
      </c>
      <c r="H30" s="11">
        <v>0.25</v>
      </c>
      <c r="I30" s="9">
        <f>G30*H30</f>
        <v>0.92230974463219417</v>
      </c>
      <c r="J30" s="9" t="s">
        <v>289</v>
      </c>
    </row>
    <row r="31" spans="1:10" ht="15" customHeight="1">
      <c r="A31" s="9" t="s">
        <v>97</v>
      </c>
      <c r="B31" s="9" t="s">
        <v>290</v>
      </c>
      <c r="C31" s="9">
        <f>IFERROR(INDEX(Dataset!$F$2:$F$1000,MATCH("Sappi|Headline earnings/(loss) per share|FY2021",Dataset!$K$2:$K$1000,0)),"n/a")</f>
        <v>74</v>
      </c>
      <c r="D31" s="9">
        <f>IFERROR(INDEX(Dataset!$F$2:$F$1000,MATCH("Sappi|Headline earnings/(loss) per share|FY2025",Dataset!$K$2:$K$1000,0)),"n/a")</f>
        <v>-268</v>
      </c>
      <c r="E31" s="9">
        <f>IFERROR((D31-C31)/ABS(C31),"n/a")</f>
        <v>-4.6216216216216219</v>
      </c>
      <c r="F31" s="10" t="s">
        <v>263</v>
      </c>
      <c r="G31" s="9">
        <f>IFERROR(MIN(5,MAX(1,3+(D31-C31)/ABS(C31)*5)),3)</f>
        <v>1</v>
      </c>
      <c r="H31" s="11">
        <v>0.25</v>
      </c>
      <c r="I31" s="9">
        <f>G31*H31</f>
        <v>0.25</v>
      </c>
      <c r="J31" s="9" t="s">
        <v>291</v>
      </c>
    </row>
    <row r="32" spans="1:10" ht="15" customHeight="1">
      <c r="A32" s="9" t="s">
        <v>97</v>
      </c>
      <c r="B32" s="9" t="s">
        <v>292</v>
      </c>
      <c r="C32" s="9">
        <f>IFERROR(INDEX(Dataset!$F$2:$F$1000,MATCH("Sappi|Net asset value per share|FY2021",Dataset!$K$2:$K$1000,0)),"n/a")</f>
        <v>5193</v>
      </c>
      <c r="D32" s="9">
        <f>IFERROR(INDEX(Dataset!$F$2:$F$1000,MATCH("Sappi|Net asset value per share|FY2025",Dataset!$K$2:$K$1000,0)),"n/a")</f>
        <v>6829</v>
      </c>
      <c r="E32" s="9">
        <f>IFERROR((D32-C32)/ABS(C32),"n/a")</f>
        <v>0.31503947621798573</v>
      </c>
      <c r="F32" s="10" t="s">
        <v>263</v>
      </c>
      <c r="G32" s="9">
        <f>IFERROR(MIN(5,MAX(1,3+(D32-C32)/ABS(C32)*5)),3)</f>
        <v>4.5751973810899287</v>
      </c>
      <c r="H32" s="11">
        <v>0.15</v>
      </c>
      <c r="I32" s="9">
        <f>G32*H32</f>
        <v>0.68627960716348924</v>
      </c>
      <c r="J32" s="9" t="s">
        <v>293</v>
      </c>
    </row>
    <row r="33" spans="1:10" ht="15" customHeight="1">
      <c r="A33" s="9" t="s">
        <v>97</v>
      </c>
      <c r="B33" s="9" t="s">
        <v>294</v>
      </c>
      <c r="C33" s="9">
        <f>IFERROR(INDEX(Dataset!$F$2:$F$1000,MATCH("Sappi|Profit/(loss) for the year|FY2021",Dataset!$K$2:$K$1000,0)),"n/a")</f>
        <v>192</v>
      </c>
      <c r="D33" s="9">
        <f>IFERROR(INDEX(Dataset!$F$2:$F$1000,MATCH("Sappi|Profit/(loss) for the year|FY2025",Dataset!$K$2:$K$1000,0)),"n/a")</f>
        <v>-3164</v>
      </c>
      <c r="E33" s="9">
        <f>IFERROR((D33-C33)/ABS(C33),"n/a")</f>
        <v>-17.479166666666668</v>
      </c>
      <c r="F33" s="10" t="s">
        <v>263</v>
      </c>
      <c r="G33" s="9">
        <f>IFERROR(MIN(5,MAX(1,3+(D33-C33)/ABS(C33)*5)),3)</f>
        <v>1</v>
      </c>
      <c r="H33" s="11">
        <v>0.2</v>
      </c>
      <c r="I33" s="9">
        <f>G33*H33</f>
        <v>0.2</v>
      </c>
      <c r="J33" s="9" t="s">
        <v>295</v>
      </c>
    </row>
    <row r="34" spans="1:10" ht="15" customHeight="1">
      <c r="A34" s="13" t="s">
        <v>97</v>
      </c>
      <c r="B34" s="13" t="s">
        <v>271</v>
      </c>
      <c r="C34" s="14"/>
      <c r="D34" s="14"/>
      <c r="E34" s="14"/>
      <c r="F34" s="14"/>
      <c r="G34" s="14"/>
      <c r="H34" s="14"/>
      <c r="I34" s="13">
        <f>SUM(I29:I33)/SUM(H29:H33)</f>
        <v>2.6914727377619472</v>
      </c>
      <c r="J34" s="14"/>
    </row>
    <row r="36" spans="1:10" ht="21.75" customHeight="1">
      <c r="A36" s="9" t="s">
        <v>137</v>
      </c>
      <c r="B36" s="9" t="s">
        <v>296</v>
      </c>
      <c r="C36" s="9" t="s">
        <v>156</v>
      </c>
      <c r="D36" s="9">
        <f>IFERROR(INDEX(Dataset!$F$2:$F$1000,MATCH("Sasol|GHG emission reduction vs FY2017 baseline (International Chemicals)|FY2025",Dataset!$K$2:$K$1000,0)),"n/a")</f>
        <v>23</v>
      </c>
      <c r="E36" s="9" t="str">
        <f>IFERROR((D36-C36)/ABS(C36),"n/a")</f>
        <v>n/a</v>
      </c>
      <c r="F36" s="10" t="s">
        <v>263</v>
      </c>
      <c r="G36" s="9">
        <f>IFERROR(MIN(5,MAX(1,3+(D36-C36)/ABS(C36)*5)),3)</f>
        <v>3</v>
      </c>
      <c r="H36" s="11">
        <v>0.3</v>
      </c>
      <c r="I36" s="9">
        <f>G36*H36</f>
        <v>0.89999999999999991</v>
      </c>
      <c r="J36" s="12" t="s">
        <v>297</v>
      </c>
    </row>
    <row r="37" spans="1:10" ht="21.75" customHeight="1">
      <c r="A37" s="9" t="s">
        <v>137</v>
      </c>
      <c r="B37" s="9" t="s">
        <v>41</v>
      </c>
      <c r="C37" s="9">
        <f>IFERROR(INDEX(Dataset!$F$2:$F$1000,MATCH("Sasol|Fatalities|FY2022",Dataset!$K$2:$K$1000,0)),"n/a")</f>
        <v>5</v>
      </c>
      <c r="D37" s="9">
        <f>IFERROR(INDEX(Dataset!$F$2:$F$1000,MATCH("Sasol|Fatalities|FY2024",Dataset!$K$2:$K$1000,0)),"n/a")</f>
        <v>6</v>
      </c>
      <c r="E37" s="9">
        <f>IFERROR((D37-C37)/ABS(C37),"n/a")</f>
        <v>0.2</v>
      </c>
      <c r="F37" s="10" t="s">
        <v>258</v>
      </c>
      <c r="G37" s="9">
        <f>IFERROR(MIN(5,MAX(1,3-(D37-C37)/ABS(C37)*5)),3)</f>
        <v>2</v>
      </c>
      <c r="H37" s="11">
        <v>0.3</v>
      </c>
      <c r="I37" s="9">
        <f>G37*H37</f>
        <v>0.6</v>
      </c>
      <c r="J37" s="12" t="s">
        <v>298</v>
      </c>
    </row>
    <row r="38" spans="1:10" ht="15" customHeight="1">
      <c r="A38" s="9" t="s">
        <v>137</v>
      </c>
      <c r="B38" s="9" t="s">
        <v>146</v>
      </c>
      <c r="C38" s="9" t="s">
        <v>156</v>
      </c>
      <c r="D38" s="9">
        <f>IFERROR(INDEX(Dataset!$F$2:$F$1000,MATCH("Sasol|Recordable case rate|FY2024",Dataset!$K$2:$K$1000,0)),"n/a")</f>
        <v>0.25</v>
      </c>
      <c r="E38" s="9" t="str">
        <f>IFERROR((D38-C38)/ABS(C38),"n/a")</f>
        <v>n/a</v>
      </c>
      <c r="F38" s="10" t="s">
        <v>258</v>
      </c>
      <c r="G38" s="9">
        <f>IFERROR(MIN(5,MAX(1,3-(D38-C38)/ABS(C38)*5)),3)</f>
        <v>3</v>
      </c>
      <c r="H38" s="11">
        <v>0.2</v>
      </c>
      <c r="I38" s="9">
        <f>G38*H38</f>
        <v>0.60000000000000009</v>
      </c>
      <c r="J38" s="12" t="s">
        <v>299</v>
      </c>
    </row>
    <row r="39" spans="1:10" ht="32.25" customHeight="1">
      <c r="A39" s="4" t="s">
        <v>137</v>
      </c>
      <c r="B39" s="4" t="s">
        <v>300</v>
      </c>
      <c r="C39" s="4">
        <f>IFERROR(INDEX(Dataset!$F$2:$F$1000,MATCH("Sasol|External turnover|FY2021",Dataset!$K$2:$K$1000,0)),"n/a")</f>
        <v>201910</v>
      </c>
      <c r="D39" s="4">
        <f>IFERROR(INDEX(Dataset!$F$2:$F$1000,MATCH("Sasol|External turnover|FY2025",Dataset!$K$2:$K$1000,0)),"n/a")</f>
        <v>249096</v>
      </c>
      <c r="E39" s="4">
        <f>IFERROR((D39-C39)/ABS(C39),"n/a")</f>
        <v>0.23369818235847656</v>
      </c>
      <c r="F39" s="4" t="s">
        <v>263</v>
      </c>
      <c r="G39" s="4">
        <f>IFERROR(MIN(5,MAX(1,3+(D39-C39)/ABS(C39)*5)),3)</f>
        <v>4.1684909117923823</v>
      </c>
      <c r="H39" s="4">
        <v>0.15</v>
      </c>
      <c r="I39" s="4">
        <f>G39*H39</f>
        <v>0.62527363676885728</v>
      </c>
      <c r="J39" s="4" t="s">
        <v>301</v>
      </c>
    </row>
    <row r="40" spans="1:10" ht="15" customHeight="1">
      <c r="A40" s="9" t="s">
        <v>137</v>
      </c>
      <c r="B40" s="9" t="s">
        <v>302</v>
      </c>
      <c r="C40" s="9">
        <f>IFERROR(INDEX(Dataset!$F$2:$F$1000,MATCH("Sasol|Adjusted EBITDA|FY2021",Dataset!$K$2:$K$1000,0)),"n/a")</f>
        <v>48420</v>
      </c>
      <c r="D40" s="9">
        <f>IFERROR(INDEX(Dataset!$F$2:$F$1000,MATCH("Sasol|Adjusted EBITDA|FY2025",Dataset!$K$2:$K$1000,0)),"n/a")</f>
        <v>51764</v>
      </c>
      <c r="E40" s="9" t="s">
        <v>156</v>
      </c>
      <c r="F40" s="9" t="s">
        <v>263</v>
      </c>
      <c r="G40" s="15">
        <v>3</v>
      </c>
      <c r="H40" s="9">
        <v>0.2</v>
      </c>
      <c r="I40" s="9">
        <f>G40*H40</f>
        <v>0.60000000000000009</v>
      </c>
      <c r="J40" s="9" t="s">
        <v>303</v>
      </c>
    </row>
    <row r="41" spans="1:10" ht="15" customHeight="1">
      <c r="A41" s="13" t="s">
        <v>137</v>
      </c>
      <c r="B41" s="13" t="s">
        <v>271</v>
      </c>
      <c r="C41" s="14"/>
      <c r="D41" s="14"/>
      <c r="E41" s="14"/>
      <c r="F41" s="14"/>
      <c r="G41" s="14"/>
      <c r="H41" s="14"/>
      <c r="I41" s="13">
        <f>SUM(I36:I40)/SUM(H36:H40)</f>
        <v>2.8915422928424843</v>
      </c>
      <c r="J41" s="14"/>
    </row>
    <row r="43" spans="1:10" ht="15" customHeight="1"/>
    <row r="44" spans="1:10" ht="15" customHeight="1">
      <c r="A44" s="16" t="s">
        <v>304</v>
      </c>
    </row>
    <row r="45" spans="1:10" ht="15" customHeight="1">
      <c r="A45" s="4" t="s">
        <v>11</v>
      </c>
      <c r="B45" s="4">
        <f>I11</f>
        <v>4.2363187332460379</v>
      </c>
    </row>
    <row r="46" spans="1:10" ht="15" customHeight="1">
      <c r="A46" s="4" t="s">
        <v>58</v>
      </c>
      <c r="B46" s="4">
        <f>I19</f>
        <v>2.576980792316927</v>
      </c>
    </row>
    <row r="47" spans="1:10" ht="15" customHeight="1">
      <c r="A47" s="4" t="s">
        <v>84</v>
      </c>
      <c r="B47" s="4">
        <f>I27</f>
        <v>4.4088629599066564</v>
      </c>
    </row>
    <row r="48" spans="1:10" ht="15" customHeight="1">
      <c r="A48" s="4" t="s">
        <v>97</v>
      </c>
      <c r="B48" s="4">
        <f>I34</f>
        <v>2.6914727377619472</v>
      </c>
    </row>
    <row r="49" spans="1:2" ht="15" customHeight="1">
      <c r="A49" s="4" t="s">
        <v>137</v>
      </c>
      <c r="B49" s="4">
        <f>I41</f>
        <v>2.8915422928424843</v>
      </c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66D13944EB0449927A505747A211F0" ma:contentTypeVersion="10" ma:contentTypeDescription="Create a new document." ma:contentTypeScope="" ma:versionID="699522b42bbfaa083a16a6b22c50d0ba">
  <xsd:schema xmlns:xsd="http://www.w3.org/2001/XMLSchema" xmlns:xs="http://www.w3.org/2001/XMLSchema" xmlns:p="http://schemas.microsoft.com/office/2006/metadata/properties" xmlns:ns2="4f04b7c9-4423-4105-8613-7c143b2caac7" xmlns:ns3="77475bf9-6faf-4476-832f-4d33e5eb7678" targetNamespace="http://schemas.microsoft.com/office/2006/metadata/properties" ma:root="true" ma:fieldsID="58a81575f4fd6d073e65c4245de586c4" ns2:_="" ns3:_="">
    <xsd:import namespace="4f04b7c9-4423-4105-8613-7c143b2caac7"/>
    <xsd:import namespace="77475bf9-6faf-4476-832f-4d33e5eb76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4b7c9-4423-4105-8613-7c143b2caa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4446a1-8a34-404e-b9d9-4935d7dab8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75bf9-6faf-4476-832f-4d33e5eb76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4eab1ab-f701-4800-80fd-48bec57bdb65}" ma:internalName="TaxCatchAll" ma:showField="CatchAllData" ma:web="77475bf9-6faf-4476-832f-4d33e5eb7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475bf9-6faf-4476-832f-4d33e5eb7678" xsi:nil="true"/>
    <lcf76f155ced4ddcb4097134ff3c332f xmlns="4f04b7c9-4423-4105-8613-7c143b2caa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F2E177-4F03-4664-96ED-D11F5E3F8E1D}"/>
</file>

<file path=customXml/itemProps2.xml><?xml version="1.0" encoding="utf-8"?>
<ds:datastoreItem xmlns:ds="http://schemas.openxmlformats.org/officeDocument/2006/customXml" ds:itemID="{860BF6D3-3EE4-4756-BDC3-92DDCDDA1795}"/>
</file>

<file path=customXml/itemProps3.xml><?xml version="1.0" encoding="utf-8"?>
<ds:datastoreItem xmlns:ds="http://schemas.openxmlformats.org/officeDocument/2006/customXml" ds:itemID="{E354BBE9-D35C-4173-9FCB-AA8A24290E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2026-09-05T13:30:37Z</dcterms:created>
  <dcterms:modified xsi:type="dcterms:W3CDTF">2026-09-16T13:08:25Z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0x0101006466D13944EB0449927A505747A211F0</vt:lpwstr>
  </property>
  <property fmtid="{D5CDD505-2E9C-101B-9397-08002B2CF9AE}" pid="3" name="MediaServiceImageTags">
    <vt:lpwstr/>
  </property>
</Properties>
</file>