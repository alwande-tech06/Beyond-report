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01EB879E-9A90-4D49-A2FA-03328B7009EC}" xr6:coauthVersionLast="47" xr6:coauthVersionMax="47" xr10:uidLastSave="{00000000-0000-0000-0000-000000000000}"/>
  <bookViews>
    <workbookView xWindow="0" yWindow="0" windowWidth="16384" windowHeight="8192" tabRatio="500" firstSheet="4" activeTab="4" xr2:uid="{00000000-000D-0000-FFFF-FFFF00000000}"/>
  </bookViews>
  <sheets>
    <sheet name="Data Dictionary" sheetId="1" r:id="rId1"/>
    <sheet name="Raw Data" sheetId="2" r:id="rId2"/>
    <sheet name="Source Citations" sheetId="3" r:id="rId3"/>
    <sheet name="Ratios" sheetId="4" r:id="rId4"/>
    <sheet name="ESG Index" sheetId="5" r:id="rId5"/>
    <sheet name="Descriptive Stats" sheetId="6" r:id="rId6"/>
    <sheet name="Correlation Matrix" sheetId="7" r:id="rId7"/>
    <sheet name="Trend Charts" sheetId="8" r:id="rId8"/>
    <sheet name="Target vs Actual Check" sheetId="9" r:id="rId9"/>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9" i="9" l="1"/>
  <c r="C9" i="9"/>
  <c r="D9" i="9" s="1"/>
  <c r="B9" i="9"/>
  <c r="E8" i="9"/>
  <c r="C8" i="9"/>
  <c r="D8" i="9" s="1"/>
  <c r="B8" i="9"/>
  <c r="E7" i="9"/>
  <c r="C7" i="9"/>
  <c r="D7" i="9" s="1"/>
  <c r="B7" i="9"/>
  <c r="E6" i="9"/>
  <c r="C6" i="9"/>
  <c r="D6" i="9" s="1"/>
  <c r="B6" i="9"/>
  <c r="E5" i="9"/>
  <c r="C5" i="9"/>
  <c r="D5" i="9" s="1"/>
  <c r="B5" i="9"/>
  <c r="F39" i="8" a="1"/>
  <c r="F39" i="8"/>
  <c r="E39" i="8" a="1"/>
  <c r="E39" i="8"/>
  <c r="D39" i="8" a="1"/>
  <c r="D39" i="8"/>
  <c r="C39" i="8" a="1"/>
  <c r="C39" i="8"/>
  <c r="B39" i="8" a="1"/>
  <c r="B39" i="8"/>
  <c r="F38" i="8" a="1"/>
  <c r="F38" i="8"/>
  <c r="E38" i="8" a="1"/>
  <c r="E38" i="8"/>
  <c r="D38" i="8" a="1"/>
  <c r="D38" i="8"/>
  <c r="C38" i="8" a="1"/>
  <c r="C38" i="8"/>
  <c r="B38" i="8" a="1"/>
  <c r="B38" i="8"/>
  <c r="F37" i="8" a="1"/>
  <c r="F37" i="8"/>
  <c r="E37" i="8" a="1"/>
  <c r="E37" i="8"/>
  <c r="D37" i="8" a="1"/>
  <c r="D37" i="8"/>
  <c r="C37" i="8" a="1"/>
  <c r="C37" i="8"/>
  <c r="B37" i="8" a="1"/>
  <c r="B37" i="8"/>
  <c r="F36" i="8" a="1"/>
  <c r="F36" i="8"/>
  <c r="E36" i="8" a="1"/>
  <c r="E36" i="8"/>
  <c r="D36" i="8" a="1"/>
  <c r="D36" i="8"/>
  <c r="C36" i="8" a="1"/>
  <c r="C36" i="8"/>
  <c r="B36" i="8" a="1"/>
  <c r="B36" i="8"/>
  <c r="F35" i="8" a="1"/>
  <c r="F35" i="8"/>
  <c r="E35" i="8" a="1"/>
  <c r="E35" i="8"/>
  <c r="D35" i="8" a="1"/>
  <c r="D35" i="8"/>
  <c r="C35" i="8" a="1"/>
  <c r="C35" i="8"/>
  <c r="B35" i="8" a="1"/>
  <c r="B35" i="8"/>
  <c r="I11" i="7"/>
  <c r="G11" i="6"/>
  <c r="F11" i="6"/>
  <c r="E11" i="6"/>
  <c r="D11" i="6"/>
  <c r="C11" i="6"/>
  <c r="B11" i="6"/>
  <c r="G10" i="6"/>
  <c r="F10" i="6"/>
  <c r="E10" i="6"/>
  <c r="D10" i="6"/>
  <c r="C10" i="6"/>
  <c r="B10" i="6"/>
  <c r="L30" i="5"/>
  <c r="K30" i="5"/>
  <c r="H30" i="5"/>
  <c r="F30" i="5"/>
  <c r="E30" i="5"/>
  <c r="D30" i="5"/>
  <c r="L29" i="5"/>
  <c r="K29" i="5"/>
  <c r="H29" i="5"/>
  <c r="F29" i="5"/>
  <c r="E29" i="5"/>
  <c r="D29" i="5"/>
  <c r="L28" i="5"/>
  <c r="K28" i="5"/>
  <c r="H28" i="5"/>
  <c r="F28" i="5"/>
  <c r="E28" i="5"/>
  <c r="D28" i="5"/>
  <c r="L27" i="5"/>
  <c r="K27" i="5"/>
  <c r="H27" i="5"/>
  <c r="F27" i="5"/>
  <c r="E27" i="5"/>
  <c r="D27" i="5"/>
  <c r="L26" i="5"/>
  <c r="K26" i="5"/>
  <c r="H26" i="5"/>
  <c r="F26" i="5"/>
  <c r="E26" i="5"/>
  <c r="D26" i="5"/>
  <c r="L25" i="5"/>
  <c r="K25" i="5"/>
  <c r="H25" i="5"/>
  <c r="F25" i="5"/>
  <c r="E25" i="5"/>
  <c r="D25" i="5"/>
  <c r="L24" i="5"/>
  <c r="K24" i="5"/>
  <c r="H24" i="5"/>
  <c r="F24" i="5"/>
  <c r="E24" i="5"/>
  <c r="D24" i="5"/>
  <c r="L23" i="5"/>
  <c r="K23" i="5"/>
  <c r="H23" i="5"/>
  <c r="F23" i="5"/>
  <c r="E23" i="5"/>
  <c r="D23" i="5"/>
  <c r="L22" i="5"/>
  <c r="K22" i="5"/>
  <c r="H22" i="5"/>
  <c r="F22" i="5"/>
  <c r="E22" i="5"/>
  <c r="D22" i="5"/>
  <c r="L21" i="5"/>
  <c r="K21" i="5"/>
  <c r="H21" i="5"/>
  <c r="F21" i="5"/>
  <c r="E21" i="5"/>
  <c r="D21" i="5"/>
  <c r="L20" i="5"/>
  <c r="K20" i="5"/>
  <c r="H20" i="5"/>
  <c r="F20" i="5"/>
  <c r="E20" i="5"/>
  <c r="D20" i="5"/>
  <c r="L19" i="5"/>
  <c r="K19" i="5"/>
  <c r="H19" i="5"/>
  <c r="F19" i="5"/>
  <c r="E19" i="5"/>
  <c r="D19" i="5"/>
  <c r="L18" i="5"/>
  <c r="K18" i="5"/>
  <c r="H18" i="5"/>
  <c r="F18" i="5"/>
  <c r="E18" i="5"/>
  <c r="D18" i="5"/>
  <c r="L17" i="5"/>
  <c r="K17" i="5"/>
  <c r="H17" i="5"/>
  <c r="F17" i="5"/>
  <c r="E17" i="5"/>
  <c r="D17" i="5"/>
  <c r="L16" i="5"/>
  <c r="K16" i="5"/>
  <c r="H16" i="5"/>
  <c r="F16" i="5"/>
  <c r="E16" i="5"/>
  <c r="D16" i="5"/>
  <c r="L15" i="5"/>
  <c r="K15" i="5"/>
  <c r="H15" i="5"/>
  <c r="F15" i="5"/>
  <c r="E15" i="5"/>
  <c r="D15" i="5"/>
  <c r="L14" i="5"/>
  <c r="K14" i="5"/>
  <c r="H14" i="5"/>
  <c r="F14" i="5"/>
  <c r="E14" i="5"/>
  <c r="D14" i="5"/>
  <c r="L13" i="5"/>
  <c r="K13" i="5"/>
  <c r="H13" i="5"/>
  <c r="F13" i="5"/>
  <c r="E13" i="5"/>
  <c r="D13" i="5"/>
  <c r="L12" i="5"/>
  <c r="K12" i="5"/>
  <c r="H12" i="5"/>
  <c r="F12" i="5"/>
  <c r="E12" i="5"/>
  <c r="D12" i="5"/>
  <c r="L11" i="5"/>
  <c r="K11" i="5"/>
  <c r="H11" i="5"/>
  <c r="F11" i="5"/>
  <c r="E11" i="5"/>
  <c r="D11" i="5"/>
  <c r="L10" i="5"/>
  <c r="K10" i="5"/>
  <c r="H10" i="5"/>
  <c r="F10" i="5"/>
  <c r="E10" i="5"/>
  <c r="D10" i="5"/>
  <c r="L9" i="5"/>
  <c r="K9" i="5"/>
  <c r="H9" i="5"/>
  <c r="F9" i="5"/>
  <c r="E9" i="5"/>
  <c r="D9" i="5"/>
  <c r="L8" i="5"/>
  <c r="K8" i="5"/>
  <c r="H8" i="5"/>
  <c r="F8" i="5"/>
  <c r="E8" i="5"/>
  <c r="D8" i="5"/>
  <c r="L7" i="5"/>
  <c r="K7" i="5"/>
  <c r="H7" i="5"/>
  <c r="F7" i="5"/>
  <c r="E7" i="5"/>
  <c r="D7" i="5"/>
  <c r="L6" i="5"/>
  <c r="K6" i="5"/>
  <c r="H6" i="5"/>
  <c r="F6" i="5"/>
  <c r="E6" i="5"/>
  <c r="D6" i="5"/>
  <c r="I4" i="5"/>
  <c r="N26" i="4"/>
  <c r="M26" i="4"/>
  <c r="G30" i="5" s="1"/>
  <c r="L26" i="4"/>
  <c r="K26" i="4"/>
  <c r="C30" i="5" s="1"/>
  <c r="J26" i="4"/>
  <c r="B30" i="5" s="1"/>
  <c r="I30" i="5" s="1"/>
  <c r="I26" i="4"/>
  <c r="H26" i="4"/>
  <c r="G26" i="4"/>
  <c r="F26" i="4"/>
  <c r="E26" i="4"/>
  <c r="D26" i="4"/>
  <c r="C26" i="4"/>
  <c r="B26" i="4"/>
  <c r="A26" i="4"/>
  <c r="N25" i="4"/>
  <c r="M25" i="4"/>
  <c r="G29" i="5" s="1"/>
  <c r="L25" i="4"/>
  <c r="K25" i="4"/>
  <c r="C29" i="5" s="1"/>
  <c r="J25" i="4"/>
  <c r="B29" i="5" s="1"/>
  <c r="I29" i="5" s="1"/>
  <c r="I25" i="4"/>
  <c r="H25" i="4"/>
  <c r="G25" i="4"/>
  <c r="F25" i="4"/>
  <c r="E25" i="4"/>
  <c r="D25" i="4"/>
  <c r="C25" i="4"/>
  <c r="B25" i="4"/>
  <c r="A25" i="4"/>
  <c r="N24" i="4"/>
  <c r="M24" i="4"/>
  <c r="G28" i="5" s="1"/>
  <c r="L24" i="4"/>
  <c r="K24" i="4"/>
  <c r="C28" i="5" s="1"/>
  <c r="J24" i="4"/>
  <c r="B28" i="5" s="1"/>
  <c r="I28" i="5" s="1"/>
  <c r="I24" i="4"/>
  <c r="H24" i="4"/>
  <c r="G24" i="4"/>
  <c r="F24" i="4"/>
  <c r="E24" i="4"/>
  <c r="D24" i="4"/>
  <c r="C24" i="4"/>
  <c r="B24" i="4"/>
  <c r="A24" i="4"/>
  <c r="N23" i="4"/>
  <c r="M23" i="4"/>
  <c r="G27" i="5" s="1"/>
  <c r="L23" i="4"/>
  <c r="K23" i="4"/>
  <c r="C27" i="5" s="1"/>
  <c r="J23" i="4"/>
  <c r="B27" i="5" s="1"/>
  <c r="I27" i="5" s="1"/>
  <c r="I23" i="4"/>
  <c r="H23" i="4"/>
  <c r="G23" i="4"/>
  <c r="F23" i="4"/>
  <c r="E23" i="4"/>
  <c r="D23" i="4"/>
  <c r="C23" i="4"/>
  <c r="B23" i="4"/>
  <c r="A23" i="4"/>
  <c r="N22" i="4"/>
  <c r="M22" i="4"/>
  <c r="G26" i="5" s="1"/>
  <c r="L22" i="4"/>
  <c r="K22" i="4"/>
  <c r="C26" i="5" s="1"/>
  <c r="J22" i="4"/>
  <c r="B26" i="5" s="1"/>
  <c r="I26" i="5" s="1"/>
  <c r="I22" i="4"/>
  <c r="H22" i="4"/>
  <c r="G22" i="4"/>
  <c r="F22" i="4"/>
  <c r="E22" i="4"/>
  <c r="D22" i="4"/>
  <c r="C22" i="4"/>
  <c r="B22" i="4"/>
  <c r="A22" i="4"/>
  <c r="N21" i="4"/>
  <c r="M21" i="4"/>
  <c r="G25" i="5" s="1"/>
  <c r="L21" i="4"/>
  <c r="K21" i="4"/>
  <c r="C25" i="5" s="1"/>
  <c r="J21" i="4"/>
  <c r="B25" i="5" s="1"/>
  <c r="I25" i="5" s="1"/>
  <c r="I21" i="4"/>
  <c r="H21" i="4"/>
  <c r="G21" i="4"/>
  <c r="F21" i="4"/>
  <c r="E21" i="4"/>
  <c r="D21" i="4"/>
  <c r="C21" i="4"/>
  <c r="B21" i="4"/>
  <c r="A21" i="4"/>
  <c r="N20" i="4"/>
  <c r="M20" i="4"/>
  <c r="G24" i="5" s="1"/>
  <c r="L20" i="4"/>
  <c r="K20" i="4"/>
  <c r="C24" i="5" s="1"/>
  <c r="J20" i="4"/>
  <c r="B24" i="5" s="1"/>
  <c r="I24" i="5" s="1"/>
  <c r="I20" i="4"/>
  <c r="H20" i="4"/>
  <c r="G20" i="4"/>
  <c r="F20" i="4"/>
  <c r="E20" i="4"/>
  <c r="D20" i="4"/>
  <c r="C20" i="4"/>
  <c r="B20" i="4"/>
  <c r="A20" i="4"/>
  <c r="N19" i="4"/>
  <c r="M19" i="4"/>
  <c r="G23" i="5" s="1"/>
  <c r="L19" i="4"/>
  <c r="K19" i="4"/>
  <c r="C23" i="5" s="1"/>
  <c r="J19" i="4"/>
  <c r="B23" i="5" s="1"/>
  <c r="I23" i="5" s="1"/>
  <c r="I19" i="4"/>
  <c r="H19" i="4"/>
  <c r="G19" i="4"/>
  <c r="F19" i="4"/>
  <c r="E19" i="4"/>
  <c r="D19" i="4"/>
  <c r="C19" i="4"/>
  <c r="B19" i="4"/>
  <c r="A19" i="4"/>
  <c r="N18" i="4"/>
  <c r="M18" i="4"/>
  <c r="G22" i="5" s="1"/>
  <c r="L18" i="4"/>
  <c r="K18" i="4"/>
  <c r="C22" i="5" s="1"/>
  <c r="J18" i="4"/>
  <c r="B22" i="5" s="1"/>
  <c r="I22" i="5" s="1"/>
  <c r="I18" i="4"/>
  <c r="H18" i="4"/>
  <c r="G18" i="4"/>
  <c r="F18" i="4"/>
  <c r="E18" i="4"/>
  <c r="D18" i="4"/>
  <c r="C18" i="4"/>
  <c r="B18" i="4"/>
  <c r="A18" i="4"/>
  <c r="N17" i="4"/>
  <c r="M17" i="4"/>
  <c r="G21" i="5" s="1"/>
  <c r="L17" i="4"/>
  <c r="K17" i="4"/>
  <c r="C21" i="5" s="1"/>
  <c r="J17" i="4"/>
  <c r="B21" i="5" s="1"/>
  <c r="I21" i="5" s="1"/>
  <c r="I17" i="4"/>
  <c r="H17" i="4"/>
  <c r="G17" i="4"/>
  <c r="F17" i="4"/>
  <c r="E17" i="4"/>
  <c r="D17" i="4"/>
  <c r="C17" i="4"/>
  <c r="B17" i="4"/>
  <c r="A17" i="4"/>
  <c r="N16" i="4"/>
  <c r="M16" i="4"/>
  <c r="G20" i="5" s="1"/>
  <c r="L16" i="4"/>
  <c r="K16" i="4"/>
  <c r="C20" i="5" s="1"/>
  <c r="J16" i="4"/>
  <c r="B20" i="5" s="1"/>
  <c r="I20" i="5" s="1"/>
  <c r="I16" i="4"/>
  <c r="H16" i="4"/>
  <c r="G16" i="4"/>
  <c r="F16" i="4"/>
  <c r="E16" i="4"/>
  <c r="D16" i="4"/>
  <c r="C16" i="4"/>
  <c r="B16" i="4"/>
  <c r="A16" i="4"/>
  <c r="N15" i="4"/>
  <c r="M15" i="4"/>
  <c r="G19" i="5" s="1"/>
  <c r="L15" i="4"/>
  <c r="K15" i="4"/>
  <c r="C19" i="5" s="1"/>
  <c r="J15" i="4"/>
  <c r="B19" i="5" s="1"/>
  <c r="I19" i="5" s="1"/>
  <c r="I15" i="4"/>
  <c r="H15" i="4"/>
  <c r="G15" i="4"/>
  <c r="F15" i="4"/>
  <c r="E15" i="4"/>
  <c r="D15" i="4"/>
  <c r="C15" i="4"/>
  <c r="B15" i="4"/>
  <c r="A15" i="4"/>
  <c r="N14" i="4"/>
  <c r="M14" i="4"/>
  <c r="G18" i="5" s="1"/>
  <c r="L14" i="4"/>
  <c r="K14" i="4"/>
  <c r="C18" i="5" s="1"/>
  <c r="J14" i="4"/>
  <c r="B18" i="5" s="1"/>
  <c r="I18" i="5" s="1"/>
  <c r="I14" i="4"/>
  <c r="H14" i="4"/>
  <c r="G14" i="4"/>
  <c r="F14" i="4"/>
  <c r="E14" i="4"/>
  <c r="D14" i="4"/>
  <c r="C14" i="4"/>
  <c r="B14" i="4"/>
  <c r="A14" i="4"/>
  <c r="N13" i="4"/>
  <c r="M13" i="4"/>
  <c r="G17" i="5" s="1"/>
  <c r="L13" i="4"/>
  <c r="K13" i="4"/>
  <c r="C17" i="5" s="1"/>
  <c r="J13" i="4"/>
  <c r="B17" i="5" s="1"/>
  <c r="I17" i="5" s="1"/>
  <c r="I13" i="4"/>
  <c r="H13" i="4"/>
  <c r="G13" i="4"/>
  <c r="F13" i="4"/>
  <c r="E13" i="4"/>
  <c r="D13" i="4"/>
  <c r="C13" i="4"/>
  <c r="B13" i="4"/>
  <c r="A13" i="4"/>
  <c r="N12" i="4"/>
  <c r="M12" i="4"/>
  <c r="G16" i="5" s="1"/>
  <c r="L12" i="4"/>
  <c r="K12" i="4"/>
  <c r="C16" i="5" s="1"/>
  <c r="J12" i="4"/>
  <c r="B16" i="5" s="1"/>
  <c r="I16" i="5" s="1"/>
  <c r="I12" i="4"/>
  <c r="H12" i="4"/>
  <c r="G12" i="4"/>
  <c r="F12" i="4"/>
  <c r="E12" i="4"/>
  <c r="D12" i="4"/>
  <c r="C12" i="4"/>
  <c r="B12" i="4"/>
  <c r="A12" i="4"/>
  <c r="N11" i="4"/>
  <c r="M11" i="4"/>
  <c r="G15" i="5" s="1"/>
  <c r="L11" i="4"/>
  <c r="K11" i="4"/>
  <c r="C15" i="5" s="1"/>
  <c r="J11" i="4"/>
  <c r="B15" i="5" s="1"/>
  <c r="I15" i="5" s="1"/>
  <c r="I11" i="4"/>
  <c r="H11" i="4"/>
  <c r="G11" i="4"/>
  <c r="F11" i="4"/>
  <c r="E11" i="4"/>
  <c r="D11" i="4"/>
  <c r="C11" i="4"/>
  <c r="B11" i="4"/>
  <c r="A11" i="4"/>
  <c r="N10" i="4"/>
  <c r="M10" i="4"/>
  <c r="G14" i="5" s="1"/>
  <c r="L10" i="4"/>
  <c r="K10" i="4"/>
  <c r="C14" i="5" s="1"/>
  <c r="J10" i="4"/>
  <c r="B14" i="5" s="1"/>
  <c r="I14" i="5" s="1"/>
  <c r="I10" i="4"/>
  <c r="H10" i="4"/>
  <c r="G10" i="4"/>
  <c r="F10" i="4"/>
  <c r="E10" i="4"/>
  <c r="D10" i="4"/>
  <c r="C10" i="4"/>
  <c r="B10" i="4"/>
  <c r="A10" i="4"/>
  <c r="N9" i="4"/>
  <c r="M9" i="4"/>
  <c r="G13" i="5" s="1"/>
  <c r="L9" i="4"/>
  <c r="K9" i="4"/>
  <c r="C13" i="5" s="1"/>
  <c r="J9" i="4"/>
  <c r="B13" i="5" s="1"/>
  <c r="I13" i="5" s="1"/>
  <c r="I9" i="4"/>
  <c r="H9" i="4"/>
  <c r="G9" i="4"/>
  <c r="F9" i="4"/>
  <c r="E9" i="4"/>
  <c r="D9" i="4"/>
  <c r="C9" i="4"/>
  <c r="B9" i="4"/>
  <c r="A9" i="4"/>
  <c r="N8" i="4"/>
  <c r="M8" i="4"/>
  <c r="G12" i="5" s="1"/>
  <c r="L8" i="4"/>
  <c r="K8" i="4"/>
  <c r="C12" i="5" s="1"/>
  <c r="J8" i="4"/>
  <c r="B12" i="5" s="1"/>
  <c r="I12" i="5" s="1"/>
  <c r="I8" i="4"/>
  <c r="H8" i="4"/>
  <c r="G8" i="4"/>
  <c r="F8" i="4"/>
  <c r="E8" i="4"/>
  <c r="D8" i="4"/>
  <c r="C8" i="4"/>
  <c r="B8" i="4"/>
  <c r="A8" i="4"/>
  <c r="N7" i="4"/>
  <c r="M7" i="4"/>
  <c r="G11" i="5" s="1"/>
  <c r="L7" i="4"/>
  <c r="K7" i="4"/>
  <c r="C11" i="5" s="1"/>
  <c r="J7" i="4"/>
  <c r="B11" i="5" s="1"/>
  <c r="I11" i="5" s="1"/>
  <c r="I7" i="4"/>
  <c r="H7" i="4"/>
  <c r="G7" i="4"/>
  <c r="F7" i="4"/>
  <c r="E7" i="4"/>
  <c r="D7" i="4"/>
  <c r="C7" i="4"/>
  <c r="B7" i="4"/>
  <c r="A7" i="4"/>
  <c r="N6" i="4"/>
  <c r="M6" i="4"/>
  <c r="G10" i="5" s="1"/>
  <c r="L6" i="4"/>
  <c r="K6" i="4"/>
  <c r="C10" i="5" s="1"/>
  <c r="J6" i="4"/>
  <c r="B10" i="5" s="1"/>
  <c r="I10" i="5" s="1"/>
  <c r="I6" i="4"/>
  <c r="H6" i="4"/>
  <c r="G6" i="4"/>
  <c r="F6" i="4"/>
  <c r="E6" i="4"/>
  <c r="D6" i="4"/>
  <c r="C6" i="4"/>
  <c r="B6" i="4"/>
  <c r="A6" i="4"/>
  <c r="N5" i="4"/>
  <c r="M5" i="4"/>
  <c r="G9" i="5" s="1"/>
  <c r="L5" i="4"/>
  <c r="K5" i="4"/>
  <c r="C9" i="5" s="1"/>
  <c r="J5" i="4"/>
  <c r="B9" i="5" s="1"/>
  <c r="I9" i="5" s="1"/>
  <c r="I5" i="4"/>
  <c r="H5" i="4"/>
  <c r="G5" i="4"/>
  <c r="F5" i="4"/>
  <c r="E5" i="4"/>
  <c r="D5" i="4"/>
  <c r="C5" i="4"/>
  <c r="B5" i="4"/>
  <c r="A5" i="4"/>
  <c r="N4" i="4"/>
  <c r="M4" i="4"/>
  <c r="G8" i="5" s="1"/>
  <c r="L4" i="4"/>
  <c r="K4" i="4"/>
  <c r="C8" i="5" s="1"/>
  <c r="J4" i="4"/>
  <c r="B8" i="5" s="1"/>
  <c r="I8" i="5" s="1"/>
  <c r="I4" i="4"/>
  <c r="H4" i="4"/>
  <c r="G4" i="4"/>
  <c r="F4" i="4"/>
  <c r="E4" i="4"/>
  <c r="D4" i="4"/>
  <c r="C4" i="4"/>
  <c r="B4" i="4"/>
  <c r="A4" i="4"/>
  <c r="N3" i="4"/>
  <c r="M3" i="4"/>
  <c r="G7" i="5" s="1"/>
  <c r="L3" i="4"/>
  <c r="K3" i="4"/>
  <c r="C7" i="5" s="1"/>
  <c r="J3" i="4"/>
  <c r="B7" i="5" s="1"/>
  <c r="I7" i="5" s="1"/>
  <c r="I3" i="4"/>
  <c r="H3" i="4"/>
  <c r="G3" i="4"/>
  <c r="F3" i="4"/>
  <c r="E3" i="4"/>
  <c r="D3" i="4"/>
  <c r="C3" i="4"/>
  <c r="B3" i="4"/>
  <c r="A3" i="4"/>
  <c r="N2" i="4"/>
  <c r="M2" i="4"/>
  <c r="L2" i="4"/>
  <c r="K2" i="4"/>
  <c r="J2" i="4"/>
  <c r="I2" i="4"/>
  <c r="H2" i="4"/>
  <c r="G2" i="4"/>
  <c r="F2" i="4"/>
  <c r="E2" i="4"/>
  <c r="D2" i="4"/>
  <c r="C2" i="4"/>
  <c r="B2" i="4"/>
  <c r="A2" i="4"/>
  <c r="F9" i="9" l="1"/>
  <c r="G9" i="9"/>
  <c r="F8" i="9"/>
  <c r="G8" i="9"/>
  <c r="F7" i="9"/>
  <c r="G7" i="9"/>
  <c r="F6" i="9"/>
  <c r="G6" i="9"/>
  <c r="F5" i="9"/>
  <c r="G5" i="9"/>
  <c r="F8" i="8" a="1"/>
  <c r="F8" i="8" s="1"/>
  <c r="E8" i="8" a="1"/>
  <c r="E8" i="8" s="1"/>
  <c r="D8" i="8" a="1"/>
  <c r="D8" i="8" s="1"/>
  <c r="C8" i="8" a="1"/>
  <c r="C8" i="8" s="1"/>
  <c r="B8" i="8" a="1"/>
  <c r="B8" i="8" s="1"/>
  <c r="F7" i="8" a="1"/>
  <c r="F7" i="8" s="1"/>
  <c r="E7" i="8" a="1"/>
  <c r="E7" i="8" s="1"/>
  <c r="D7" i="8" a="1"/>
  <c r="D7" i="8" s="1"/>
  <c r="C7" i="8" a="1"/>
  <c r="C7" i="8" s="1"/>
  <c r="B7" i="8" a="1"/>
  <c r="B7" i="8" s="1"/>
  <c r="F6" i="8" a="1"/>
  <c r="F6" i="8" s="1"/>
  <c r="E6" i="8" a="1"/>
  <c r="E6" i="8" s="1"/>
  <c r="D6" i="8" a="1"/>
  <c r="D6" i="8" s="1"/>
  <c r="C6" i="8" a="1"/>
  <c r="C6" i="8" s="1"/>
  <c r="B6" i="8" a="1"/>
  <c r="B6" i="8" s="1"/>
  <c r="F5" i="8" a="1"/>
  <c r="F5" i="8" s="1"/>
  <c r="E5" i="8" a="1"/>
  <c r="E5" i="8" s="1"/>
  <c r="D5" i="8" a="1"/>
  <c r="D5" i="8" s="1"/>
  <c r="C5" i="8" a="1"/>
  <c r="C5" i="8" s="1"/>
  <c r="B5" i="8" a="1"/>
  <c r="B5" i="8" s="1"/>
  <c r="F4" i="8" a="1"/>
  <c r="F4" i="8" s="1"/>
  <c r="E4" i="8" a="1"/>
  <c r="E4" i="8" s="1"/>
  <c r="D4" i="8" a="1"/>
  <c r="D4" i="8" s="1"/>
  <c r="C4" i="8" a="1"/>
  <c r="C4" i="8" s="1"/>
  <c r="B4" i="8" a="1"/>
  <c r="B4" i="8" s="1"/>
  <c r="F10" i="7"/>
  <c r="E10" i="7"/>
  <c r="D10" i="7"/>
  <c r="C10" i="7"/>
  <c r="B10" i="7"/>
  <c r="G9" i="6"/>
  <c r="F9" i="6"/>
  <c r="E9" i="6"/>
  <c r="D9" i="6"/>
  <c r="C9" i="6"/>
  <c r="B9" i="6"/>
  <c r="H11" i="7"/>
  <c r="I10" i="7"/>
  <c r="H10" i="7"/>
  <c r="G10" i="7"/>
  <c r="G6" i="5"/>
  <c r="C9" i="7"/>
  <c r="D9" i="7"/>
  <c r="E9" i="7"/>
  <c r="F9" i="7"/>
  <c r="G9" i="7"/>
  <c r="H9" i="7"/>
  <c r="I9" i="7"/>
  <c r="G11" i="7"/>
  <c r="B8" i="6"/>
  <c r="G8" i="6"/>
  <c r="F8" i="6"/>
  <c r="C8" i="6"/>
  <c r="E8" i="6"/>
  <c r="D8" i="6"/>
  <c r="B9" i="7"/>
  <c r="C6" i="5"/>
  <c r="I8" i="7"/>
  <c r="H8" i="7"/>
  <c r="G8" i="7"/>
  <c r="F8" i="7"/>
  <c r="E8" i="7"/>
  <c r="D8" i="7"/>
  <c r="C8" i="7"/>
  <c r="B8" i="7"/>
  <c r="G7" i="6"/>
  <c r="F7" i="6"/>
  <c r="E7" i="6"/>
  <c r="D7" i="6"/>
  <c r="C7" i="6"/>
  <c r="B7" i="6"/>
  <c r="B6" i="5"/>
  <c r="I6" i="5" s="1"/>
  <c r="F11" i="7"/>
  <c r="J8" i="7"/>
  <c r="G7" i="7"/>
  <c r="F7" i="7"/>
  <c r="D7" i="7"/>
  <c r="C7" i="7"/>
  <c r="E7" i="7"/>
  <c r="E11" i="7"/>
  <c r="G6" i="6"/>
  <c r="B7" i="7"/>
  <c r="E6" i="6"/>
  <c r="D6" i="6"/>
  <c r="C6" i="6"/>
  <c r="B6" i="6"/>
  <c r="F6" i="6"/>
  <c r="J7" i="7"/>
  <c r="I7" i="7"/>
  <c r="H7" i="7"/>
  <c r="D5" i="6"/>
  <c r="G5" i="6"/>
  <c r="F5" i="6"/>
  <c r="E5" i="6"/>
  <c r="C5" i="6"/>
  <c r="B5" i="6"/>
  <c r="D4" i="6"/>
  <c r="F4" i="6"/>
  <c r="G4" i="6"/>
  <c r="E4" i="6"/>
  <c r="D11" i="7"/>
  <c r="B6" i="7"/>
  <c r="C6" i="7"/>
  <c r="D6" i="7"/>
  <c r="F6" i="7"/>
  <c r="G6" i="7"/>
  <c r="H6" i="7"/>
  <c r="I6" i="7"/>
  <c r="J6" i="7"/>
  <c r="E6" i="7"/>
  <c r="B4" i="6"/>
  <c r="C4" i="6"/>
  <c r="C5" i="7"/>
  <c r="B3" i="6"/>
  <c r="F3" i="6"/>
  <c r="G3" i="6"/>
  <c r="E3" i="6"/>
  <c r="J5" i="7"/>
  <c r="I5" i="7"/>
  <c r="D3" i="6"/>
  <c r="G5" i="7"/>
  <c r="E5" i="7"/>
  <c r="F5" i="7"/>
  <c r="D5" i="7"/>
  <c r="B5" i="7"/>
  <c r="C11" i="7"/>
  <c r="H5" i="7"/>
  <c r="C3" i="6"/>
  <c r="E2" i="6"/>
  <c r="F2" i="6"/>
  <c r="G2" i="6"/>
  <c r="D4" i="7"/>
  <c r="J4" i="7"/>
  <c r="I4" i="7"/>
  <c r="H4" i="7"/>
  <c r="G4" i="7"/>
  <c r="F4" i="7"/>
  <c r="E4" i="7"/>
  <c r="D2" i="6"/>
  <c r="C4" i="7"/>
  <c r="B11" i="7"/>
  <c r="B4" i="7"/>
  <c r="B2" i="6"/>
  <c r="C2" i="6"/>
  <c r="J6" i="5" l="1"/>
  <c r="J7" i="5"/>
  <c r="J8" i="5"/>
  <c r="J9" i="5"/>
  <c r="J10" i="5"/>
  <c r="J11" i="5"/>
  <c r="J12" i="5"/>
  <c r="J13" i="5"/>
  <c r="J14" i="5"/>
  <c r="J15" i="5"/>
  <c r="J16" i="5"/>
  <c r="J17" i="5"/>
  <c r="J18" i="5"/>
  <c r="J19" i="5"/>
  <c r="J20" i="5"/>
  <c r="J21" i="5"/>
  <c r="J22" i="5"/>
  <c r="J23" i="5"/>
  <c r="J24" i="5"/>
  <c r="J25" i="5"/>
  <c r="J26" i="5"/>
  <c r="J27" i="5"/>
  <c r="J28" i="5"/>
  <c r="J29" i="5"/>
  <c r="J30" i="5"/>
  <c r="B12" i="6"/>
  <c r="C12" i="6"/>
  <c r="D12" i="6"/>
  <c r="E12" i="6"/>
  <c r="F12" i="6"/>
  <c r="G12" i="6"/>
  <c r="J11" i="7"/>
  <c r="B12" i="7"/>
  <c r="C12" i="7"/>
  <c r="D12" i="7"/>
  <c r="E12" i="7"/>
  <c r="F12" i="7"/>
  <c r="G12" i="7"/>
  <c r="H12" i="7"/>
  <c r="I12" i="7"/>
  <c r="J12" i="7"/>
  <c r="J10" i="7"/>
  <c r="J9" i="7"/>
</calcChain>
</file>

<file path=xl/sharedStrings.xml><?xml version="1.0" encoding="utf-8"?>
<sst xmlns="http://schemas.openxmlformats.org/spreadsheetml/2006/main" count="2523" uniqueCount="573">
  <si>
    <t>Data Dictionary: ESG-Financial Decision Intelligence Dataset</t>
  </si>
  <si>
    <t>APFA802 Major Project -- Beyond the Report: Transforming Integrated Reporting Data into Decision Intelligence</t>
  </si>
  <si>
    <t>This dataset covers 5 JSE-listed companies from related basic-materials/industrial sectors (chemicals, mining services, steel, construction materials and energy) over FY2021-FY2025 (25 company-year observations), compiled entirely from each company's own published Integrated Annual Report (IAR). Every observation is traceable to a specific page in a specific company's specific-year IAR -- see the 'Source Citations' sheet for the full page-by-page reference table (407 citation rows covering every extracted variable). All monetary values were verified, company by company and year by year, to be presented in South African Rand (ZAR) in the source document before inclusion, so that cross-company and cross-time comparisons in this workbook are on a like-for-like currency basis. The dataset was independently re-verified against the primary-source IARs a second time after initial extraction; this second pass corrected 8 transcription errors (documented in the Source Citations sheet's Status column as CORRECTED), most significantly a board-gender-diversity figure for one company-year that had been drawn from the wrong line of a source chart.</t>
  </si>
  <si>
    <t>Variable</t>
  </si>
  <si>
    <t>Unit / Scale</t>
  </si>
  <si>
    <t>Measurement Definition</t>
  </si>
  <si>
    <t>Source (IAR section)</t>
  </si>
  <si>
    <t>Six Capitals / Category</t>
  </si>
  <si>
    <t>Known Limitations</t>
  </si>
  <si>
    <t>company / ticker / sector / fy</t>
  </si>
  <si>
    <t>text / text / text / year</t>
  </si>
  <si>
    <t>Company legal name, JSE share code, sector classification used in this project, and fiscal year (Afrimat, AECI, ArcelorMittal SA, Sasol: FYE 30 June or 31 Dec as applicable; OMNIA: FYE 31 March).</t>
  </si>
  <si>
    <t>IAR cover page / company profile</t>
  </si>
  <si>
    <t>Identification</t>
  </si>
  <si>
    <t>OMNIA's 'FY2021' covers the year ended 31 March 2021, not calendar 2021 -- a lag of up to 9 months versus the other four companies' year-ends is possible in any single comparison and is disclosed.</t>
  </si>
  <si>
    <t>currency</t>
  </si>
  <si>
    <t>text (ZAR)</t>
  </si>
  <si>
    <t>Reporting currency confirmed from the actual statement column headers in each company's own IAR for each year (not assumed).</t>
  </si>
  <si>
    <t>Statement of financial position / income statement headers</t>
  </si>
  <si>
    <t>Data quality control</t>
  </si>
  <si>
    <t>All 25 observations confirmed Rand; no conversion was required or applied.</t>
  </si>
  <si>
    <t>revenue_zar_m</t>
  </si>
  <si>
    <t>R million</t>
  </si>
  <si>
    <t>Total revenue / turnover for the fiscal year, as reported in the summarised or full income statement.</t>
  </si>
  <si>
    <t>Financial highlights / income statement</t>
  </si>
  <si>
    <t>Financial capital</t>
  </si>
  <si>
    <t>None identified.</t>
  </si>
  <si>
    <t>operating_profit_zar_m</t>
  </si>
  <si>
    <t>Operating profit (EBIT) or nearest disclosed equivalent (e.g. profit/(loss) from operations); ArcelorMittal and Sasol figures include the effect of impairments/remeasurement items where these form part of the reported operating result.</t>
  </si>
  <si>
    <t>AECI FY2024-FY2025: single EBIT line not disclosed in the Integrated Report; left blank rather than estimated (EBITDA was disclosed but is not the same measure and was not substituted).</t>
  </si>
  <si>
    <t>net_income_zar_m</t>
  </si>
  <si>
    <t>Profit/(loss) for the year attributable to owners of the parent.</t>
  </si>
  <si>
    <t>AECI FY2025: not disclosed as a Rand figure in the Integrated Report (only a qualitative EPS growth statement was given); left blank.</t>
  </si>
  <si>
    <t>total_assets_zar_m</t>
  </si>
  <si>
    <t>Total assets per the statement of financial position.</t>
  </si>
  <si>
    <t>Statement of financial position</t>
  </si>
  <si>
    <t>AECI: not disclosed in any of the 5 Integrated Reports, which are strategic/sustainability documents rather than the full Annual Financial Statements; left blank for all 5 AECI years rather than sourced from an unverified external document.</t>
  </si>
  <si>
    <t>total_equity_zar_m</t>
  </si>
  <si>
    <t>Total equity (owners' equity plus non-controlling interests where disclosed as a combined figure).</t>
  </si>
  <si>
    <t>ArcelorMittal SA FY2025 total equity is negative (-R429m), reflecting accumulated losses exceeding contributed capital; reported as-is, not treated as an error.</t>
  </si>
  <si>
    <t>total_debt_zar_m</t>
  </si>
  <si>
    <t>Total interest-bearing borrowings (current plus non-current), or the company's own stated 'total debt' commentary figure where a summarised balance sheet does not break this out separately (Sasol).</t>
  </si>
  <si>
    <t>Statement of financial position / CFO commentary</t>
  </si>
  <si>
    <t>Definitions are not perfectly uniform across companies (e.g. Sasol's stated 'total debt' may net certain items differently from a strict current+non-current borrowings sum); used consistently within each company's own time series.</t>
  </si>
  <si>
    <t>eps_cents</t>
  </si>
  <si>
    <t>SA cents per share</t>
  </si>
  <si>
    <t>Basic earnings/(loss) per share as reported.</t>
  </si>
  <si>
    <t>Income statement / financial highlights</t>
  </si>
  <si>
    <t>ArcelorMittal SA: basic EPS not disclosed in any of the 5 Integrated Reports (only Headline EPS, a JSE-standard adjusted measure); left blank.</t>
  </si>
  <si>
    <t>scope1_tco2e / scope2_tco2e</t>
  </si>
  <si>
    <t>tonnes CO2-equivalent</t>
  </si>
  <si>
    <t>Direct (Scope 1) and indirect energy-related (Scope 2) greenhouse gas emissions for the reporting year, per the company's own GHG inventory (typically assured under ISO 14064 or similar).</t>
  </si>
  <si>
    <t>Sustainability / environment section, GHG emissions table</t>
  </si>
  <si>
    <t>Natural capital</t>
  </si>
  <si>
    <t>ArcelorMittal SA and Sasol do not disclose a separate absolute Scope 1 / Scope 2 split in every year's own report (ArcelorMittal discloses only combined absolute Mt plus per-tonne intensity ratios; Sasol's split is only available retrospectively in later assurance tables and was therefore left blank for internal consistency) -- see total_ghg_tco2e instead, which is available for all 25 observations.</t>
  </si>
  <si>
    <t>total_ghg_tco2e</t>
  </si>
  <si>
    <t>Combined Scope 1 + Scope 2 GHG emissions for the year, as disclosed (directly, or as the sum of separately disclosed Scope 1 and Scope 2 figures). This is the primary cross-company-comparable emissions variable used throughout the analysis.</t>
  </si>
  <si>
    <t>Sustainability / environment section</t>
  </si>
  <si>
    <t>Sasol and ArcelorMittal figures were converted to tonnes from kilotonnes/megatonnes as originally disclosed; conversion factors documented in the Raw Data sheet notes.</t>
  </si>
  <si>
    <t>water_m3</t>
  </si>
  <si>
    <t>cubic metres (m3)</t>
  </si>
  <si>
    <t>Total water withdrawn/used by the company's operations for the year.</t>
  </si>
  <si>
    <t>Units differed across companies as originally disclosed (m3, kilolitres, megalitres, '000 m3) and were converted to a common m3 basis; 1 kilolitre = 1 m3, 1 megalitre = 1,000 m3.</t>
  </si>
  <si>
    <t>employees</t>
  </si>
  <si>
    <t>headcount</t>
  </si>
  <si>
    <t>Total number of employees at fiscal year-end (permanent, or permanent plus fixed-term where the company reports a combined figure).</t>
  </si>
  <si>
    <t>Our people / human capital section</t>
  </si>
  <si>
    <t>Human capital</t>
  </si>
  <si>
    <t>Definitions of 'employee' (permanent only vs. permanent+contractor) are not perfectly uniform across the five companies; used consistently within each company's own series.</t>
  </si>
  <si>
    <t>safety_metric / safety_value</t>
  </si>
  <si>
    <t>text / rate</t>
  </si>
  <si>
    <t>The workplace-safety incidence rate each company itself discloses and its value: LTIFR (Lost Time Injury Frequency Rate: Afrimat, ArcelorMittal, OMNIA from FY2023), TRIR (Total Recordable Injury Rate: AECI), or RCR (Recordable Case Rate: OMNIA pre-FY2023, Sasol).</t>
  </si>
  <si>
    <t>Health and safety section</t>
  </si>
  <si>
    <t>Because the underlying metric differs by company, safety_value is NOT directly comparable across companies in absolute terms without adjustment; used for within-company trend analysis and flagged in the report's limitations.</t>
  </si>
  <si>
    <t>fatalities</t>
  </si>
  <si>
    <t>count</t>
  </si>
  <si>
    <t>Number of workplace fatalities recorded for the year.</t>
  </si>
  <si>
    <t>Directly comparable across all companies; Afrimat discloses cumulative fatality-free years rather than an annual count in some years, interpreted as 0 for those years.</t>
  </si>
  <si>
    <t>bbee_level</t>
  </si>
  <si>
    <t>1-8 (lower = better)</t>
  </si>
  <si>
    <t>B-BBEE (Broad-Based Black Economic Empowerment) contributor level under the JSE/dti codes, as self-reported or externally verified.</t>
  </si>
  <si>
    <t>Transformation / social and relationship capital section</t>
  </si>
  <si>
    <t>Social and relationship capital</t>
  </si>
  <si>
    <t>ArcelorMittal SA's self-assessed level in a given year was sometimes later revised by external verification (e.g. FY2022 self-assessed Level 8, later verified Level 6); this dataset uses the externally verified level where the company's own later report discloses one, and the self-assessed level otherwise -- see Raw Data comments.</t>
  </si>
  <si>
    <t>board_women_pct</t>
  </si>
  <si>
    <t>%</t>
  </si>
  <si>
    <t>Percentage of women on the company's Board of Directors (or the nearest disclosed board/leadership gender-diversity metric where a precise board-only percentage was not stated in running text).</t>
  </si>
  <si>
    <t>Corporate governance section, board composition</t>
  </si>
  <si>
    <t>ArcelorMittal SA changed its denominator from 'including international directors' (FY2021-23) to 'excluding international directors' (FY2024-25), so its own time series is not perfectly comparable across that break; flagged in the report.</t>
  </si>
  <si>
    <t>ghg_target_pct / ghg_target_year</t>
  </si>
  <si>
    <t>% / year</t>
  </si>
  <si>
    <t>The percentage GHG reduction target and target year most recently and prominently stated by the company in that year's own report (e.g. '30% reduction by 2030').</t>
  </si>
  <si>
    <t>Strategy / climate change section</t>
  </si>
  <si>
    <t>Natural capital (forward-looking)</t>
  </si>
  <si>
    <t>Not every company restates its target every single year in identical terms; where a report only reaffirms a previously stated target without a new percentage, the previously stated figure is carried forward and the cell is populated; where a target was explicitly paused/under review (Afrimat FY2025, following the Lafarge acquisition), the percentage is left blank.</t>
  </si>
  <si>
    <t>csi_spend_zar_m</t>
  </si>
  <si>
    <t>Corporate social investment / socio-economic development spend for the year (a common, comparable definition across all five companies' own disclosures).</t>
  </si>
  <si>
    <t>Social and relationship capital section</t>
  </si>
  <si>
    <t>AECI FY2021: CSI spend not stated as a Rand figure in the FY2021 report itself; sourced from the FY2022 report's own comparative disclosure of the FY2021 figure.</t>
  </si>
  <si>
    <t>Company</t>
  </si>
  <si>
    <t>Ticker</t>
  </si>
  <si>
    <t>Sector</t>
  </si>
  <si>
    <t>FY</t>
  </si>
  <si>
    <t>Currency</t>
  </si>
  <si>
    <t>Revenue (Rm)</t>
  </si>
  <si>
    <t>Operating Profit (Rm)</t>
  </si>
  <si>
    <t>Net Income (Rm)</t>
  </si>
  <si>
    <t>Total Assets (Rm)</t>
  </si>
  <si>
    <t>Total Equity (Rm)</t>
  </si>
  <si>
    <t>Total Debt (Rm)</t>
  </si>
  <si>
    <t>EPS (cents)</t>
  </si>
  <si>
    <t>Scope 1 (tCO2e)</t>
  </si>
  <si>
    <t>Scope 2 (tCO2e)</t>
  </si>
  <si>
    <t>Total GHG (tCO2e)</t>
  </si>
  <si>
    <t>Water (m3)</t>
  </si>
  <si>
    <t>Employees</t>
  </si>
  <si>
    <t>Safety Metric</t>
  </si>
  <si>
    <t>Safety Value</t>
  </si>
  <si>
    <t>Fatalities</t>
  </si>
  <si>
    <t>B-BBEE Level</t>
  </si>
  <si>
    <t>Board Women (%)</t>
  </si>
  <si>
    <t>GHG Target (%)</t>
  </si>
  <si>
    <t>GHG Target Year</t>
  </si>
  <si>
    <t>CSI Spend (Rm)</t>
  </si>
  <si>
    <t>Afrimat Limited</t>
  </si>
  <si>
    <t>AFT</t>
  </si>
  <si>
    <t>Construction Materials &amp; Mining</t>
  </si>
  <si>
    <t>ZAR</t>
  </si>
  <si>
    <t>LTIFR</t>
  </si>
  <si>
    <t>AECI Limited</t>
  </si>
  <si>
    <t>AFE</t>
  </si>
  <si>
    <t>Chemicals</t>
  </si>
  <si>
    <t>TRIR</t>
  </si>
  <si>
    <t>ArcelorMittal South Africa</t>
  </si>
  <si>
    <t>AMS</t>
  </si>
  <si>
    <t>Steel &amp; Metals</t>
  </si>
  <si>
    <t>Omnia Holdings Limited</t>
  </si>
  <si>
    <t>OMN</t>
  </si>
  <si>
    <t>Chemicals &amp; Agriculture</t>
  </si>
  <si>
    <t>RCR</t>
  </si>
  <si>
    <t>Sasol Limited</t>
  </si>
  <si>
    <t>SOL</t>
  </si>
  <si>
    <t>Energy &amp; Chemicals</t>
  </si>
  <si>
    <t>Notes on data completeness and unit conversions:</t>
  </si>
  <si>
    <t>• All 25 observations were verified as presented in South African Rand in the underlying Integrated Annual Report before inclusion (see Data Dictionary sheet).</t>
  </si>
  <si>
    <t>• Water was converted to a common cubic-metre (m3) basis: ArcelorMittal's kilolitres require no conversion (1 kl = 1 m3); OMNIA's megalitres were multiplied by 1,000; Sasol's '000 m3 figures were multiplied by 1,000.</t>
  </si>
  <si>
    <t>• Total GHG (Scope 1+2) for Sasol was converted from kilotonnes to tonnes (x1,000); for ArcelorMittal SA, from megatonnes to tonnes (x1,000,000), since ArcelorMittal does not disclose a separate absolute Scope 1/Scope 2 split in its own reports.</t>
  </si>
  <si>
    <t>• Blank cells are missing data (not disclosed in the source IAR for that company-year), not zero, and are excluded pairwise from every calculation in the Ratios, Descriptive Stats, Correlation and ESG Index sheets.</t>
  </si>
  <si>
    <t>• Full per-company, per-year page citations for every extracted variable are recorded in the 'Source Citations' sheet of this workbook (407 rows); the Data Dictionary sheet above records source section and known limitations at the variable level.</t>
  </si>
  <si>
    <t>Source Citations: Page-Level Traceability of Every Extracted Observation</t>
  </si>
  <si>
    <t>This sheet records the page number, IAR section, and verification status for every extracted variable used in this project (407 citation rows across 5 companies x 5 fiscal years). It was compiled by an independent second-pass re-verification: each company's full set of Integrated Annual Reports was re-read against the dataset a second time, page by page, after initial extraction. Status meanings -- CONFIRMED: value matches the cited page exactly; DERIVED: value calculated or combined from disclosures on the cited page(s) (e.g. summing separately disclosed components); RESTATED: the cited-year IAR's own figure was later restated in a subsequent year's IAR, and the restated figure is noted; CORRECTED: an error was found in the originally recorded value during this second-pass verification and has been corrected in the dataset (see Note column for what changed); GENUINELY ABSENT: the field is confirmed, after exhaustive search of the source document, to not be disclosed for that company-year (left blank in the dataset rather than estimated).</t>
  </si>
  <si>
    <t>Page Reference</t>
  </si>
  <si>
    <t>IAR Section</t>
  </si>
  <si>
    <t>Status</t>
  </si>
  <si>
    <t>Note</t>
  </si>
  <si>
    <t>25</t>
  </si>
  <si>
    <t>Five-Year Review</t>
  </si>
  <si>
    <t>CONFIRMED</t>
  </si>
  <si>
    <t>72</t>
  </si>
  <si>
    <t>Statement of Profit or Loss</t>
  </si>
  <si>
    <t>95</t>
  </si>
  <si>
    <t>Note - Borrowings</t>
  </si>
  <si>
    <t>scope1_tco2e</t>
  </si>
  <si>
    <t>42</t>
  </si>
  <si>
    <t>Environmental Responsibility - GHG table</t>
  </si>
  <si>
    <t>scope2_tco2e</t>
  </si>
  <si>
    <t>Environmental Responsibility - Water</t>
  </si>
  <si>
    <t>safety_value</t>
  </si>
  <si>
    <t>7</t>
  </si>
  <si>
    <t>Value-Creation infographic</t>
  </si>
  <si>
    <t>31</t>
  </si>
  <si>
    <t>Directorate - Board Demographics</t>
  </si>
  <si>
    <t>29</t>
  </si>
  <si>
    <t>86</t>
  </si>
  <si>
    <t>112</t>
  </si>
  <si>
    <t>48</t>
  </si>
  <si>
    <t>47</t>
  </si>
  <si>
    <t>34</t>
  </si>
  <si>
    <t>28</t>
  </si>
  <si>
    <t>87</t>
  </si>
  <si>
    <t>114</t>
  </si>
  <si>
    <t>9</t>
  </si>
  <si>
    <t>RESTATED</t>
  </si>
  <si>
    <t>FY2023 IAR itself states Level 3; the FY2024 IAR's comparative column later restates 2023 to Level 2 (lagged verification cycle). Dataset uses the later-verified figure; cite FY2024 IAR p.9.</t>
  </si>
  <si>
    <t>35</t>
  </si>
  <si>
    <t>89</t>
  </si>
  <si>
    <t>118</t>
  </si>
  <si>
    <t>49</t>
  </si>
  <si>
    <t>98</t>
  </si>
  <si>
    <t>128</t>
  </si>
  <si>
    <t>50</t>
  </si>
  <si>
    <t>ghg_target_pct</t>
  </si>
  <si>
    <t>46</t>
  </si>
  <si>
    <t>Managing Climate Change</t>
  </si>
  <si>
    <t>Environmental Responsibility</t>
  </si>
  <si>
    <t>ghg_target_year</t>
  </si>
  <si>
    <t>No % stated for FY2025; target under review following the Lafarge acquisition; only the 2050 carbon-neutrality goal is restated.</t>
  </si>
  <si>
    <t>1</t>
  </si>
  <si>
    <t>Front-cover safety statement</t>
  </si>
  <si>
    <t>GENUINELY ABSENT (qualitative only)</t>
  </si>
  <si>
    <t>IAR states "No fatalities for nine consecutive years" rather than an annual occupational count; recorded as blank, not zero, per project convention. Note: 6 (FY21) and a cumulative 8 (FY22) COVID-19 fatalities are separately disclosed (p.43/p.51) but are non-occupational and excluded from this field.</t>
  </si>
  <si>
    <t>IAR states "No fatalities for ten consecutive years" rather than an annual occupational count; recorded as blank, not zero, per project convention. Note: 6 (FY21) and a cumulative 8 (FY22) COVID-19 fatalities are separately disclosed (p.43/p.51) but are non-occupational and excluded from this field.</t>
  </si>
  <si>
    <t>IAR states "No fatalities for 11 consecutive years" rather than an annual occupational count; recorded as blank, not zero, per project convention. Note: 6 (FY21) and a cumulative 8 (FY22) COVID-19 fatalities are separately disclosed (p.43/p.51) but are non-occupational and excluded from this field.</t>
  </si>
  <si>
    <t>-</t>
  </si>
  <si>
    <t>GENUINELY ABSENT</t>
  </si>
  <si>
    <t>The words fatal/fatality do not appear anywhere in this year's IAR; the fatality-free-streak disclosure used in FY2021-23 was discontinued from FY2024 onward. Recorded as blank (data gap), not zero.</t>
  </si>
  <si>
    <t>22</t>
  </si>
  <si>
    <t>From our CFO - Performance summary</t>
  </si>
  <si>
    <t>21-22</t>
  </si>
  <si>
    <t>From our CFO - Financial performance</t>
  </si>
  <si>
    <t>41 (FY2022 IAR)</t>
  </si>
  <si>
    <t>FY2022 CFO performance summary, FY2021 comparative column</t>
  </si>
  <si>
    <t>CONFIRMED (comparative)</t>
  </si>
  <si>
    <t>Not disclosed as a single line in the FY2021 IAR itself (only EBITDA/EBIT/EPS given); recovered from FY2022 IAR's own comparative column.</t>
  </si>
  <si>
    <t>Our value-creating business model</t>
  </si>
  <si>
    <t>Our value-creating business model (Borrowings)</t>
  </si>
  <si>
    <t>From our CFO - Earnings per share</t>
  </si>
  <si>
    <t>3, 7</t>
  </si>
  <si>
    <t>This is AECI / business model</t>
  </si>
  <si>
    <t>Practising what we preach</t>
  </si>
  <si>
    <t>Zero fatalities or life-altering injuries.</t>
  </si>
  <si>
    <t>24</t>
  </si>
  <si>
    <t>Social, Ethics &amp; Transformation Committee report</t>
  </si>
  <si>
    <t>Self-assessed Level 3.</t>
  </si>
  <si>
    <t>Board diversity policy</t>
  </si>
  <si>
    <t>16 (FY2022 IAR)</t>
  </si>
  <si>
    <t>FY2022 Key outcomes, FY2021 comparative</t>
  </si>
  <si>
    <t>CORRECTED</t>
  </si>
  <si>
    <t>Not disclosed in the FY2021 IAR itself; recovered as R34.8m from the FY2022 IAR's bracketed FY2021 comparative. Added to dataset (previously left blank).</t>
  </si>
  <si>
    <t>11, 41</t>
  </si>
  <si>
    <t>Key features / CFO performance summary</t>
  </si>
  <si>
    <t>41</t>
  </si>
  <si>
    <t>CFO performance summary (EBIT)</t>
  </si>
  <si>
    <t>CFO performance summary</t>
  </si>
  <si>
    <t>15</t>
  </si>
  <si>
    <t>Key features / CFO summary</t>
  </si>
  <si>
    <t>16</t>
  </si>
  <si>
    <t>Value-creating business model (natural capital)</t>
  </si>
  <si>
    <t>Value-creating business model</t>
  </si>
  <si>
    <t>11, 15</t>
  </si>
  <si>
    <t>Key features / business model</t>
  </si>
  <si>
    <t>11</t>
  </si>
  <si>
    <t>Key features of 2022</t>
  </si>
  <si>
    <t>Our value-creating people</t>
  </si>
  <si>
    <t>Diversity and inclusion</t>
  </si>
  <si>
    <t>Report's own disclosed figure is 40% ('Achieved 40%', p.25), confirmed again in FY2023 IAR p.71 ('2022: 40%'). Dataset previously showed 45.0% (no source found for that figure); corrected to 40.0%.</t>
  </si>
  <si>
    <t>Key outcomes highlights</t>
  </si>
  <si>
    <t>11, 71</t>
  </si>
  <si>
    <t>Key features / Performance summary</t>
  </si>
  <si>
    <t>71</t>
  </si>
  <si>
    <t>Performance summary (EBIT)</t>
  </si>
  <si>
    <t>Performance summary</t>
  </si>
  <si>
    <t>Environmental performance</t>
  </si>
  <si>
    <t>Water management</t>
  </si>
  <si>
    <t>11, 28</t>
  </si>
  <si>
    <t>For our employees highlights</t>
  </si>
  <si>
    <t>FY2022 TRIR is separately restated here from 0.15 to 0.27; the FY2022 value used in this dataset is as originally reported in the FY2022 IAR.</t>
  </si>
  <si>
    <t>For society highlights</t>
  </si>
  <si>
    <t>57</t>
  </si>
  <si>
    <t>Board and Committee diversity</t>
  </si>
  <si>
    <t>Value-creating business model (Social &amp; Relationship capital)</t>
  </si>
  <si>
    <t>62</t>
  </si>
  <si>
    <t>Financial performance - Statement of P&amp;L extract</t>
  </si>
  <si>
    <t>Statement of P&amp;L extract</t>
  </si>
  <si>
    <t>No single EBIT/operating-profit line exists in the FY2024 IAR (only EBITDA, D&amp;A/impairments, profit from continuing/discontinued operations, EPS/HEPS); left blank rather than estimated.</t>
  </si>
  <si>
    <t>DERIVED</t>
  </si>
  <si>
    <t>No single 'profit/loss for the year' total is printed; derived as continuing operations (R305m) + discontinued operations (-R560m) = -R255m.</t>
  </si>
  <si>
    <t>14</t>
  </si>
  <si>
    <t>14, 64</t>
  </si>
  <si>
    <t>Value-creating business model / CFO commentary</t>
  </si>
  <si>
    <t>Strategy review - sustainability KPIs</t>
  </si>
  <si>
    <t>Only a combined Scope 1+2 figure is disclosed for FY2024; Scope1/2 fields left blank for this year.</t>
  </si>
  <si>
    <t>14, 57</t>
  </si>
  <si>
    <t>Business model / sustainability KPIs</t>
  </si>
  <si>
    <t>15, 57</t>
  </si>
  <si>
    <t>Multiple safety references</t>
  </si>
  <si>
    <t>8, 60</t>
  </si>
  <si>
    <t>Chairman/CE commentary; safety section</t>
  </si>
  <si>
    <t>Social licence to operate</t>
  </si>
  <si>
    <t>19</t>
  </si>
  <si>
    <t>Governance - Diversity charts</t>
  </si>
  <si>
    <t>Report discloses non-executive-director gender diversity as at 31 Dec 2024 = 44% (2023: 50%); a separate post-year-end chart shows 55% after a Sept-2024 appointment. Dataset previously showed 42.0% (no matching source); corrected to 44.0%.</t>
  </si>
  <si>
    <t>Sustainability KPI table</t>
  </si>
  <si>
    <t>10% reduction target by 2025.</t>
  </si>
  <si>
    <t>7, 28</t>
  </si>
  <si>
    <t>Key metrics</t>
  </si>
  <si>
    <t>Printed figure is R32,183m; dataset previously showed 32,200 (rounding); corrected to 32183.</t>
  </si>
  <si>
    <t>Key metrics (Value creation)</t>
  </si>
  <si>
    <t>Explicitly disclosed as 'Operating profit R1,530m (2024: R1,544m)'; previously left blank in error. Added to dataset.</t>
  </si>
  <si>
    <t>66</t>
  </si>
  <si>
    <t>CFO/results commentary</t>
  </si>
  <si>
    <t>No Rand or cents net-income/EPS figure stated; only a qualitative 'EPS from continuing operations increased by over 100%' statement.</t>
  </si>
  <si>
    <t>Financial capital summary</t>
  </si>
  <si>
    <t>31, 43, 66</t>
  </si>
  <si>
    <t>Multiple (Net debt/EBITDA; CFO commentary)</t>
  </si>
  <si>
    <t>7, 11</t>
  </si>
  <si>
    <t>KPI table / sustainability performance</t>
  </si>
  <si>
    <t>Sustainability performance table</t>
  </si>
  <si>
    <t>9, 41, 49</t>
  </si>
  <si>
    <t>Overview / financial capital summary</t>
  </si>
  <si>
    <t>7, 28, 31</t>
  </si>
  <si>
    <t>Multiple</t>
  </si>
  <si>
    <t>7, 31</t>
  </si>
  <si>
    <t>Zero fatalities.</t>
  </si>
  <si>
    <t>No B-BBEE contributor level appears anywhere in the FY2025 IAR (only board/target-level commentary); confirmed by exhaustive text search.</t>
  </si>
  <si>
    <t>33</t>
  </si>
  <si>
    <t>Our Board</t>
  </si>
  <si>
    <t>Performance against strategy - Sustainability</t>
  </si>
  <si>
    <t>16% is the Scope-1-specific 2030 target; the combined Scope1+2 ('carbon footprint') target, consistent with the total_ghg field used throughout this dataset, is 15%. Dataset corrected from 16 to 15 for internal consistency.</t>
  </si>
  <si>
    <t>28, 42</t>
  </si>
  <si>
    <t>Key metrics / value-creation summary</t>
  </si>
  <si>
    <t>A text search for 'Total Assets' across all five AECI IARs returns zero matches in any year; AECI's Integrated Report is a strategic/sustainability document, not the full Annual Financial Statements.</t>
  </si>
  <si>
    <t>14, 23, 26</t>
  </si>
  <si>
    <t>Value-creation model / CFO report / 5-yr review</t>
  </si>
  <si>
    <t>14, 23</t>
  </si>
  <si>
    <t>As above</t>
  </si>
  <si>
    <t>23</t>
  </si>
  <si>
    <t>CFO report, abridged income statement</t>
  </si>
  <si>
    <t>CFO report, abridged balance sheet</t>
  </si>
  <si>
    <t>14, 25</t>
  </si>
  <si>
    <t>Borrowings (current + non-current)</t>
  </si>
  <si>
    <t>44 (FY2023 IAR)</t>
  </si>
  <si>
    <t>FY2023 IAR sustainability data table</t>
  </si>
  <si>
    <t>CONFIRMED (retrospective)</t>
  </si>
  <si>
    <t>Not disclosed anywhere in the FY2021 IAR itself; first appears in the FY2023 IAR's data table. Cite the FY2023 report, not FY2021.</t>
  </si>
  <si>
    <t>19 (FY2022 IAR, inferred)</t>
  </si>
  <si>
    <t>FY2022 IAR KPI table - Total freshwater intake</t>
  </si>
  <si>
    <t>Not disclosed in the FY2021 IAR itself; first appears in the FY2022 IAR. Unit confirmed as kilolitres (kl). Cite the FY2022 report, not FY2021.</t>
  </si>
  <si>
    <t>Value-creation model</t>
  </si>
  <si>
    <t>45</t>
  </si>
  <si>
    <t>Broad-based black economic empowerment</t>
  </si>
  <si>
    <t>Self-assessed Level 8; unlike FY2022/23, no later report shows this being revised.</t>
  </si>
  <si>
    <t>Board diversity (including international directors)</t>
  </si>
  <si>
    <t>6</t>
  </si>
  <si>
    <t>Group decarbonisation strategy</t>
  </si>
  <si>
    <t>17, 29, 34</t>
  </si>
  <si>
    <t>17, 29</t>
  </si>
  <si>
    <t>Profit/(loss) for the year</t>
  </si>
  <si>
    <t>Abridged balance sheet</t>
  </si>
  <si>
    <t>17, 31</t>
  </si>
  <si>
    <t>17, 30</t>
  </si>
  <si>
    <t>Borrowings</t>
  </si>
  <si>
    <t>Carbon emissions and taxes</t>
  </si>
  <si>
    <t>Disclosed same-year, unlike FY2021.</t>
  </si>
  <si>
    <t>19 (inferred)</t>
  </si>
  <si>
    <t>ESG KPI table</t>
  </si>
  <si>
    <t>17</t>
  </si>
  <si>
    <t>61 (FY2023 IAR)</t>
  </si>
  <si>
    <t>FY2023 IAR narrative</t>
  </si>
  <si>
    <t>FY2022's own report (p.53) self-assesses Level 8; the externally verified Level 6 used in this dataset is disclosed only in the FY2023 IAR. Cite FY2023 report for the verified figure.</t>
  </si>
  <si>
    <t>21</t>
  </si>
  <si>
    <t>74</t>
  </si>
  <si>
    <t>Decarbonisation section</t>
  </si>
  <si>
    <t>21, 39</t>
  </si>
  <si>
    <t>Value-creation model / CFO report</t>
  </si>
  <si>
    <t>39-40</t>
  </si>
  <si>
    <t>Loss for the year</t>
  </si>
  <si>
    <t>40</t>
  </si>
  <si>
    <t>21, 40</t>
  </si>
  <si>
    <t>21, 44</t>
  </si>
  <si>
    <t>Value-creation model / ESG data table</t>
  </si>
  <si>
    <t>44</t>
  </si>
  <si>
    <t>ESG data table</t>
  </si>
  <si>
    <t>44 (also 57 FY2024 IAR)</t>
  </si>
  <si>
    <t>5-yr KPI table; verified in FY2024 IAR</t>
  </si>
  <si>
    <t>FY2023 IAR's own top-KPI table shows 6, but its narrative text elsewhere states 7 (internal inconsistency); FY2024 IAR confirms the externally verified figure is 6, matching the dataset.</t>
  </si>
  <si>
    <t>32</t>
  </si>
  <si>
    <t>Last year this 'including' wording is used.</t>
  </si>
  <si>
    <t>25% by 2030 from a 2018 baseline of 2.90 tCO2e/t crude steel.</t>
  </si>
  <si>
    <t>16, 35</t>
  </si>
  <si>
    <t>(Loss)/profit for the year</t>
  </si>
  <si>
    <t>As originally reported; the FY2025 IAR's comparative column later restates FY2024 total assets to R25,276m ('balances have been restated').</t>
  </si>
  <si>
    <t>As originally reported; later restated to R2,298m in the FY2025 IAR's comparative column.</t>
  </si>
  <si>
    <t>16, 36</t>
  </si>
  <si>
    <t>Total borrowings</t>
  </si>
  <si>
    <t>40 (inferred)</t>
  </si>
  <si>
    <t>56 (FY2025 IAR)</t>
  </si>
  <si>
    <t>FY2025 IAR narrative</t>
  </si>
  <si>
    <t>FY2024's own report (p.57) self-assesses Level 8; the externally verified Level 7 used in this dataset is disclosed only in the FY2025 IAR.</t>
  </si>
  <si>
    <t>Board diversity (excluding international directors)</t>
  </si>
  <si>
    <t>First year of this revised, narrower denominator.</t>
  </si>
  <si>
    <t>Decarbonisation investment section</t>
  </si>
  <si>
    <t>13, 34</t>
  </si>
  <si>
    <t>Explicit negative equity figure (-R429m) appears verbatim - technically insolvent on a book-equity basis.</t>
  </si>
  <si>
    <t>13, 35</t>
  </si>
  <si>
    <t>37</t>
  </si>
  <si>
    <t>38</t>
  </si>
  <si>
    <t>13-14, 7</t>
  </si>
  <si>
    <t>Value-creation model / 5-yr KPI table</t>
  </si>
  <si>
    <t>5-yr KPI table</t>
  </si>
  <si>
    <t>9, 56</t>
  </si>
  <si>
    <t>5-yr table (self-assessed) / narrative</t>
  </si>
  <si>
    <t>Self-assessed/projected Level 4; external verification pending April 2026.</t>
  </si>
  <si>
    <t>Group revised target down from 25% to 'up to 10%' by 2030, citing updated market/policy conditions since the 25% target was set in 2021.</t>
  </si>
  <si>
    <t>53</t>
  </si>
  <si>
    <t>Summarised statements / five-year sustainability data</t>
  </si>
  <si>
    <t>146</t>
  </si>
  <si>
    <t>101</t>
  </si>
  <si>
    <t>Statement of Financial Position (derived: non-current + current interest-bearing borrowings)</t>
  </si>
  <si>
    <t>No single 'total debt' line is printed; consistently derived as the sum of non-current and current interest-bearing borrowings.</t>
  </si>
  <si>
    <t>Water management / sustainability data</t>
  </si>
  <si>
    <t>Originally disclosed in megalitres (ML); converted to m3 (1 ML = 1,000 m3).</t>
  </si>
  <si>
    <t>36</t>
  </si>
  <si>
    <t>141</t>
  </si>
  <si>
    <t>6, 24</t>
  </si>
  <si>
    <t>3, 24</t>
  </si>
  <si>
    <t>18, 24</t>
  </si>
  <si>
    <t>48-51</t>
  </si>
  <si>
    <t>52</t>
  </si>
  <si>
    <t>92</t>
  </si>
  <si>
    <t>96</t>
  </si>
  <si>
    <t>44-45</t>
  </si>
  <si>
    <t>65</t>
  </si>
  <si>
    <t>68</t>
  </si>
  <si>
    <t>44, 67</t>
  </si>
  <si>
    <t>67</t>
  </si>
  <si>
    <t>69</t>
  </si>
  <si>
    <t>39, 45</t>
  </si>
  <si>
    <t>73</t>
  </si>
  <si>
    <t>39, 72</t>
  </si>
  <si>
    <t>Social capital</t>
  </si>
  <si>
    <t>Third consecutive year with no work-related fatalities.</t>
  </si>
  <si>
    <t>Five-year operating statistics</t>
  </si>
  <si>
    <t>Five-year sustainability performance</t>
  </si>
  <si>
    <t>54, 67</t>
  </si>
  <si>
    <t>Narrative + five-year table</t>
  </si>
  <si>
    <t>3</t>
  </si>
  <si>
    <t>Year at a glance</t>
  </si>
  <si>
    <t>126</t>
  </si>
  <si>
    <t>Corporate governance diversity chart</t>
  </si>
  <si>
    <t>Not printed as text; recovered by counting a dot-chart (2 of 11 directors = 18.2%, rounded to 18%).</t>
  </si>
  <si>
    <t>122</t>
  </si>
  <si>
    <t>Same counting method as FY2021 (2 of 11 = 18.2%).</t>
  </si>
  <si>
    <t>102</t>
  </si>
  <si>
    <t>Director tenure chart</t>
  </si>
  <si>
    <t>Report states '2023 | 10 DIRECTORS (3 female, 4 black)' = 30.0%. Dataset previously showed 27.0% (no matching source); corrected to 30.0%.</t>
  </si>
  <si>
    <t>12</t>
  </si>
  <si>
    <t>Governance structures infographic</t>
  </si>
  <si>
    <t>First year stated explicitly as a percentage: '30% of board members are female'.</t>
  </si>
  <si>
    <t>56</t>
  </si>
  <si>
    <t>Materiality/strategy</t>
  </si>
  <si>
    <t>25% reduction against an FY2020 baseline by 2030.</t>
  </si>
  <si>
    <t>59</t>
  </si>
  <si>
    <t>Strategy</t>
  </si>
  <si>
    <t>No GHG % reduction target found anywhere in the FY2023 report after an exhaustive search.</t>
  </si>
  <si>
    <t>Natural capital / decarbonisation</t>
  </si>
  <si>
    <t>45% by 2030 against an FY2024 baseline, explicitly stated.</t>
  </si>
  <si>
    <t>Non-financial performance data history</t>
  </si>
  <si>
    <t>Sum of separately disclosed Scope 1 (178,139) and Scope 2 (83,361).</t>
  </si>
  <si>
    <t>FY2023 introduces LTIFR as an additional headline metric alongside RCR (RCR FY23 = 0.16, continues to be reported separately); dataset field switches from RCR to LTIFR from FY2023 onward, consistent with Omnia's own reporting change -- documented as a metric-consistency limitation.</t>
  </si>
  <si>
    <t>corporate_action_note</t>
  </si>
  <si>
    <t>14, 31-33</t>
  </si>
  <si>
    <t>CEO/FD commentary; discontinued operations</t>
  </si>
  <si>
    <t>Oro Agri disposed of during FY2021; inflow of funds reflected in the Statement of Financial Position and Comprehensive Income.</t>
  </si>
  <si>
    <t>29-30</t>
  </si>
  <si>
    <t>Disposal of Umongo Petroleum</t>
  </si>
  <si>
    <t>Umongo Petroleum disposed of during FY2022; net funds inflow of R958 million; distinct, later divestment from Oro Agri.</t>
  </si>
  <si>
    <t>Income statement (primary Rand columns; US$ figures are narrative parentheticals only, not used)</t>
  </si>
  <si>
    <t>51</t>
  </si>
  <si>
    <t>55</t>
  </si>
  <si>
    <t>Statement of financial position (Rand)</t>
  </si>
  <si>
    <t>43</t>
  </si>
  <si>
    <t>54</t>
  </si>
  <si>
    <t>CFO commentary (narrative disclosure, not a balance-sheet line item)</t>
  </si>
  <si>
    <t>Narrative CFO commentary: 'our total debt was R102.9 billion'.</t>
  </si>
  <si>
    <t>18, 43</t>
  </si>
  <si>
    <t>Narrative CFO commentary; US$6.5bn parenthetical present but not the cited figure.</t>
  </si>
  <si>
    <t>27, 50</t>
  </si>
  <si>
    <t>Narrative CFO commentary; FY2024 IAR later restates this comparative to R125.6bn (vs. R124.3bn as originally reported) -- inter-year restatement, not a citation error.</t>
  </si>
  <si>
    <t>Narrative CFO commentary, explicitly notes the FY2023 comparative restatement to R125.6bn.</t>
  </si>
  <si>
    <t>52, 55</t>
  </si>
  <si>
    <t>Narrative CFO commentary; US$5.8bn parenthetical present but not the cited figure.</t>
  </si>
  <si>
    <t>20 (also 5, 19)</t>
  </si>
  <si>
    <t>Value-creation infographic / material matters</t>
  </si>
  <si>
    <t>Originally disclosed in kilotonnes CO2e; converted to tonnes (x1,000).</t>
  </si>
  <si>
    <t>23, 42</t>
  </si>
  <si>
    <t>11, 49</t>
  </si>
  <si>
    <t>15, 163</t>
  </si>
  <si>
    <t>14, 81, 168</t>
  </si>
  <si>
    <t>20</t>
  </si>
  <si>
    <t>Water use table</t>
  </si>
  <si>
    <t>Originally disclosed in thousand cubic metres; converted to m3 (x1,000).</t>
  </si>
  <si>
    <t>15, 71, 163</t>
  </si>
  <si>
    <t>14, 76, 168</t>
  </si>
  <si>
    <t>Value-creation infographic / performance data</t>
  </si>
  <si>
    <t>23, 41</t>
  </si>
  <si>
    <t>20 (also 5,21,23,51)</t>
  </si>
  <si>
    <t>RCR performance disclosure</t>
  </si>
  <si>
    <t>6,14,41,50</t>
  </si>
  <si>
    <t>21,48</t>
  </si>
  <si>
    <t>11,101</t>
  </si>
  <si>
    <t>10,102,168</t>
  </si>
  <si>
    <t>Material matters</t>
  </si>
  <si>
    <t>Two fatalities (one before, one after year-end per footnote).</t>
  </si>
  <si>
    <t>41, 50, 64</t>
  </si>
  <si>
    <t>Performance data / safety narrative</t>
  </si>
  <si>
    <t>Safety narrative</t>
  </si>
  <si>
    <t>16, 58, 101</t>
  </si>
  <si>
    <t>Statutory in-period count is 5; one FY24 infographic headlines 'six tragic fatalities' by also counting a post-year-end sixth. Dataset uses the statutory in-period count of 5.</t>
  </si>
  <si>
    <t>One fatality in FY25.</t>
  </si>
  <si>
    <t>19-20</t>
  </si>
  <si>
    <t>B-BBEE status disclosure</t>
  </si>
  <si>
    <t>24, 41</t>
  </si>
  <si>
    <t>20, 43, 48</t>
  </si>
  <si>
    <t>Governance - female representation</t>
  </si>
  <si>
    <t>Board diversity</t>
  </si>
  <si>
    <t>76, 124 (FY2025 IAR)</t>
  </si>
  <si>
    <t>Board diversity ('Female - 45% (50)')</t>
  </si>
  <si>
    <t>FY2024 IAR p.123 shows two adjacent metrics: 'Women (%) Achieved 50%' and 'Historically Disadvantaged Individuals (%) Achieved 66%'. The dataset had recorded the HDI figure (66.0%) in the board_women field in error. Corrected to 50.0%, confirmed independently by the FY2025 IAR's own FY2024 comparative ('Female - 45% (50)').</t>
  </si>
  <si>
    <t>76, 124</t>
  </si>
  <si>
    <t>16 (target), 11 (baseline)</t>
  </si>
  <si>
    <t>Climate strategy</t>
  </si>
  <si>
    <t>30% reduction in Scope 1+2 emissions by 2030 against a 2017 baseline (Energy and Chemicals businesses).</t>
  </si>
  <si>
    <t>22 (also 3,5,28)</t>
  </si>
  <si>
    <t>Social investment disclosure</t>
  </si>
  <si>
    <t>24 (also 4,6,27)</t>
  </si>
  <si>
    <t>5,20,36,43</t>
  </si>
  <si>
    <t>11,16,18,37</t>
  </si>
  <si>
    <t>FY2025 IAR's own FY2024 comparative later shows R795m rather than R693.2m as originally reported -- likely a restated/expanded CSI scope definition; dataset uses the figure as originally reported in the FY2024 IAR.</t>
  </si>
  <si>
    <t>10,17</t>
  </si>
  <si>
    <t>Sasol does not disclose a same-year absolute Scope 1/Scope 2 split in its primary IAR data tables for any of these years; only the combined total (used throughout this dataset) is available on a consistent basis.</t>
  </si>
  <si>
    <t>Summary by verification status:</t>
  </si>
  <si>
    <t>TOTAL</t>
  </si>
  <si>
    <t>Operating Margin (%)</t>
  </si>
  <si>
    <t>Net Margin (%)</t>
  </si>
  <si>
    <t>ROA (%)</t>
  </si>
  <si>
    <t>ROE (%)</t>
  </si>
  <si>
    <t>Debt-to-Equity</t>
  </si>
  <si>
    <t>GHG Intensity (tCO2e/Rm Rev)</t>
  </si>
  <si>
    <t>Water Intensity (m3/Rm Rev)</t>
  </si>
  <si>
    <t>GHG per Employee (tCO2e)</t>
  </si>
  <si>
    <t>CSI Intensity (% Revenue)</t>
  </si>
  <si>
    <t>Revenue per Employee (Rm)</t>
  </si>
  <si>
    <t>Composite ESG-Financial Decision Index (0-100, higher = better)</t>
  </si>
  <si>
    <t>Methodology: each of six sub-indicators is min-max normalised to 0-100 across all 25 company-year observations (worst observed value = 0, best = 100), then combined using the equal weights shown in row 4 below, following common ESG-index-construction practice (e.g. Escrig-Olmedo et al., 2019; Berg, Koelbel &amp; Rigobon, 2022, on weighting choices in ESG scoring methodologies). Weights are fully transparent and adjustable in row 4 -- changing a weight recalculates every score live. GHG intensity, water intensity, safety incidents and B-BBEE level are 'lower is better' and are inverted (100 minus the normalised score) before weighting.</t>
  </si>
  <si>
    <t>Weight</t>
  </si>
  <si>
    <t>Sum of weights:</t>
  </si>
  <si>
    <t>Sub-indicator</t>
  </si>
  <si>
    <t>GHG Intensity
(inverted)</t>
  </si>
  <si>
    <t>Water Intensity
(inverted)</t>
  </si>
  <si>
    <t>Safety Value
(inverted)</t>
  </si>
  <si>
    <t>B-BBEE Level
(inverted)</t>
  </si>
  <si>
    <t>Board Women %</t>
  </si>
  <si>
    <t>CSI Intensity
(% revenue)</t>
  </si>
  <si>
    <t>ESG Index Score</t>
  </si>
  <si>
    <t>Composite Rank (year)</t>
  </si>
  <si>
    <t>Metric</t>
  </si>
  <si>
    <t>N</t>
  </si>
  <si>
    <t>Mean</t>
  </si>
  <si>
    <t>Median</t>
  </si>
  <si>
    <t>Std Dev</t>
  </si>
  <si>
    <t>Min</t>
  </si>
  <si>
    <t>Max</t>
  </si>
  <si>
    <t>Correlation Matrix: ESG and Financial Performance Variables (n=25 company-years, pairwise)</t>
  </si>
  <si>
    <t>GHG Intensity</t>
  </si>
  <si>
    <t>Water Intensity</t>
  </si>
  <si>
    <t>CSI Intensity (%)</t>
  </si>
  <si>
    <t>ESG Index Score by Company, FY2021-FY2025</t>
  </si>
  <si>
    <t>Revenue (Rm) by Company, FY2021-FY2025</t>
  </si>
  <si>
    <t>Sustainability Claims Credibility Check: Stated GHG Targets vs Observed Trend</t>
  </si>
  <si>
    <t>Methodology and an important caveat: each company's own stated GHG reduction target uses its own baseline year (e.g. Sasol: 2017; ArcelorMittal SA: 2018; OMNIA: FY2024), which does not coincide with this project's FY2021 sample start. This check therefore cannot verify literal target attainment; it tests a weaker but still decision-useful question -- does the company's OWN observed multi-year emissions trend move in the DIRECTION its own public commitment implies (down), and by roughly how much, given the years actually observed? A large gap between a strong stated ambition and a rising or barely-falling observed trend is a reporting-credibility signal worth investigating further (Delmas &amp; Burbano, 2011, on the drivers of corporate greenwashing; Marquis, Toffel &amp; Zhou, 2016, on selective disclosure); it is not, on its own, proof of greenwashing.</t>
  </si>
  <si>
    <t>FY2021 GHG (tCO2e)</t>
  </si>
  <si>
    <t>Latest-year GHG (tCO2e)</t>
  </si>
  <si>
    <t>Observed % Change</t>
  </si>
  <si>
    <t>Stated Target (%, by year)</t>
  </si>
  <si>
    <t>Direction Consistent?</t>
  </si>
  <si>
    <t>Credibility Flag</t>
  </si>
  <si>
    <t>Notes</t>
  </si>
  <si>
    <t>No FY2025 target stated (company was reassessing its 32%-by-2030 target following the mid-year Lafarge acquisition); absolute GHG rose mainly due to that acquisition, not organic operational growth -- see Raw Data notes.</t>
  </si>
  <si>
    <t>Baseline for AECI's 16% target is FY2025 itself (a forward 2030 target), not FY2021; the -27% observed change over FY2021-FY2025 is nonetheless a genuine, substantial reduction and directionally consistent with a decarbonisation commitment.</t>
  </si>
  <si>
    <t>Target baseline is 2018, not FY2021. Note: the FY2025 report revises the stated 2030 target down from 25% to 'up to 10%', citing updated market/policy conditions -- the -10.7% observed change now clears this revised, less ambitious target, but would not have cleared the original 25% target; observed reduction is also partly explained by falling production volumes (net loss position in 4 of 5 years) rather than efficiency gains alone -- see Discussion.</t>
  </si>
  <si>
    <t>OMNIA's 45% target uses an FY2024 baseline (a forward target), not FY2021; the -46% observed change over FY2021-FY2025 substantially pre-dates that baseline and mostly reflects earlier portfolio changes (disposal of Oro Agri, Umongo Petroleum).</t>
  </si>
  <si>
    <t>Sasol's 30% target uses a 2017 baseline; the -12.5% observed change over the shorter FY2021-FY2025 window is behind the pace implied by the 2017-2030 target trajectory, though FY2024's impairment-driven operational disruption makes a single-window comparison unreliable.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</si>
</sst>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font>
      <sz val="11"/>
      <color theme="1"/>
      <name val="Calibri"/>
      <family val="2"/>
      <charset val="1"/>
    </font>
    <font>
      <b/>
      <sz val="13"/>
      <color rgb="FF1F4E78"/>
      <name val="Arial"/>
      <charset val="1"/>
    </font>
    <font>
      <i/>
      <sz val="10"/>
      <name val="Arial"/>
      <charset val="1"/>
    </font>
    <font>
      <sz val="10"/>
      <name val="Arial"/>
      <charset val="1"/>
    </font>
    <font>
      <b/>
      <sz val="10"/>
      <color rgb="FFFFFFFF"/>
      <name val="Arial"/>
      <charset val="1"/>
    </font>
    <font>
      <b/>
      <sz val="10"/>
      <name val="Arial"/>
      <charset val="1"/>
    </font>
    <font>
      <i/>
      <sz val="9"/>
      <name val="Arial"/>
      <charset val="1"/>
    </font>
    <font>
      <sz val="9"/>
      <name val="Arial"/>
      <charset val="1"/>
    </font>
    <font>
      <b/>
      <sz val="9"/>
      <name val="Arial"/>
      <charset val="1"/>
    </font>
    <font>
      <b/>
      <sz val="11"/>
      <color rgb="FF1F4E78"/>
      <name val="Arial"/>
      <charset val="1"/>
    </font>
  </fonts>
  <fills count="8">
    <fill>
      <patternFill patternType="none"/>
    </fill>
    <fill>
      <patternFill patternType="gray125"/>
    </fill>
    <fill>
      <patternFill patternType="solid">
        <fgColor rgb="FF1F4E78"/>
        <bgColor rgb="FF003366"/>
      </patternFill>
    </fill>
    <fill>
      <patternFill patternType="solid">
        <fgColor rgb="FFD9EAD3"/>
        <bgColor rgb="FFD9E2F3"/>
      </patternFill>
    </fill>
    <fill>
      <patternFill patternType="solid">
        <fgColor rgb="FFFFF2CC"/>
        <bgColor rgb="FFEFEFEF"/>
      </patternFill>
    </fill>
    <fill>
      <patternFill patternType="solid">
        <fgColor rgb="FFEFEFEF"/>
        <bgColor rgb="FFFFF2CC"/>
      </patternFill>
    </fill>
    <fill>
      <patternFill patternType="solid">
        <fgColor rgb="FFF4CCCC"/>
        <bgColor rgb="FFD9D9D9"/>
      </patternFill>
    </fill>
    <fill>
      <patternFill patternType="solid">
        <fgColor rgb="FFD9E2F3"/>
        <bgColor rgb="FFD9D9D9"/>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4">
    <xf numFmtId="0" fontId="0" fillId="0" borderId="0" xfId="0"/>
    <xf numFmtId="0" fontId="4"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left"/>
    </xf>
    <xf numFmtId="0" fontId="3" fillId="0" borderId="1" xfId="0" applyFont="1" applyBorder="1" applyAlignment="1">
      <alignment horizontal="right"/>
    </xf>
    <xf numFmtId="3" fontId="3" fillId="0" borderId="1" xfId="0" applyNumberFormat="1" applyFont="1" applyBorder="1" applyAlignment="1">
      <alignment horizontal="right"/>
    </xf>
    <xf numFmtId="4" fontId="3" fillId="0" borderId="1" xfId="0" applyNumberFormat="1" applyFont="1" applyBorder="1" applyAlignment="1">
      <alignment horizontal="right"/>
    </xf>
    <xf numFmtId="0" fontId="5" fillId="0" borderId="0" xfId="0" applyFont="1"/>
    <xf numFmtId="0" fontId="7" fillId="0" borderId="1" xfId="0" applyFont="1" applyBorder="1" applyAlignment="1">
      <alignment horizontal="left" vertical="top"/>
    </xf>
    <xf numFmtId="0" fontId="8" fillId="3" borderId="1" xfId="0" applyFont="1" applyFill="1" applyBorder="1" applyAlignment="1">
      <alignment horizontal="left" vertical="top"/>
    </xf>
    <xf numFmtId="0" fontId="7" fillId="0" borderId="1" xfId="0" applyFont="1" applyBorder="1" applyAlignment="1">
      <alignment horizontal="left" vertical="top" wrapText="1"/>
    </xf>
    <xf numFmtId="0" fontId="8" fillId="4" borderId="1" xfId="0" applyFont="1" applyFill="1" applyBorder="1" applyAlignment="1">
      <alignment horizontal="left" vertical="top"/>
    </xf>
    <xf numFmtId="0" fontId="8" fillId="0" borderId="1" xfId="0" applyFont="1" applyBorder="1" applyAlignment="1">
      <alignment horizontal="left" vertical="top"/>
    </xf>
    <xf numFmtId="0" fontId="8" fillId="5" borderId="1" xfId="0" applyFont="1" applyFill="1" applyBorder="1" applyAlignment="1">
      <alignment horizontal="left" vertical="top"/>
    </xf>
    <xf numFmtId="0" fontId="8" fillId="6" borderId="1" xfId="0" applyFont="1" applyFill="1" applyBorder="1" applyAlignment="1">
      <alignment horizontal="left" vertical="top"/>
    </xf>
    <xf numFmtId="0" fontId="8" fillId="7" borderId="1" xfId="0" applyFont="1" applyFill="1" applyBorder="1" applyAlignment="1">
      <alignment horizontal="left" vertical="top"/>
    </xf>
    <xf numFmtId="0" fontId="8" fillId="3" borderId="0" xfId="0" applyFont="1" applyFill="1"/>
    <xf numFmtId="0" fontId="7" fillId="0" borderId="0" xfId="0" applyFont="1"/>
    <xf numFmtId="0" fontId="8" fillId="7" borderId="0" xfId="0" applyFont="1" applyFill="1"/>
    <xf numFmtId="0" fontId="8" fillId="4" borderId="0" xfId="0" applyFont="1" applyFill="1"/>
    <xf numFmtId="0" fontId="8" fillId="6" borderId="0" xfId="0" applyFont="1" applyFill="1"/>
    <xf numFmtId="0" fontId="8" fillId="5" borderId="0" xfId="0" applyFont="1" applyFill="1"/>
    <xf numFmtId="0" fontId="8" fillId="0" borderId="0" xfId="0" applyFont="1"/>
    <xf numFmtId="0" fontId="3" fillId="0" borderId="1" xfId="0" applyFont="1" applyBorder="1" applyAlignment="1">
      <alignment horizontal="center"/>
    </xf>
    <xf numFmtId="9" fontId="5" fillId="4" borderId="1" xfId="0" applyNumberFormat="1" applyFont="1" applyFill="1" applyBorder="1"/>
    <xf numFmtId="0" fontId="3" fillId="0" borderId="0" xfId="0" applyFont="1"/>
    <xf numFmtId="9" fontId="0" fillId="0" borderId="0" xfId="0" applyNumberFormat="1"/>
    <xf numFmtId="0" fontId="4" fillId="2" borderId="0" xfId="0" applyFont="1" applyFill="1"/>
    <xf numFmtId="164" fontId="3" fillId="0" borderId="1" xfId="0" applyNumberFormat="1" applyFont="1" applyBorder="1" applyAlignment="1">
      <alignment horizontal="right"/>
    </xf>
    <xf numFmtId="0" fontId="4" fillId="2" borderId="1" xfId="0" applyFont="1" applyFill="1" applyBorder="1"/>
    <xf numFmtId="0" fontId="3" fillId="0" borderId="1" xfId="0" applyFont="1" applyBorder="1"/>
    <xf numFmtId="0" fontId="9" fillId="0" borderId="0" xfId="0" applyFont="1"/>
    <xf numFmtId="0" fontId="4" fillId="2" borderId="1" xfId="0" applyFont="1" applyFill="1" applyBorder="1" applyAlignment="1">
      <alignment horizontal="center" textRotation="45" wrapText="1"/>
    </xf>
    <xf numFmtId="2" fontId="3" fillId="0" borderId="1" xfId="0" applyNumberFormat="1" applyFont="1" applyBorder="1" applyAlignment="1">
      <alignment horizontal="right"/>
    </xf>
    <xf numFmtId="0" fontId="4" fillId="2" borderId="0" xfId="0" applyFont="1" applyFill="1" applyAlignment="1">
      <alignment horizontal="center" wrapText="1"/>
    </xf>
    <xf numFmtId="164" fontId="3" fillId="0" borderId="1" xfId="0" applyNumberFormat="1" applyFont="1" applyBorder="1"/>
    <xf numFmtId="3" fontId="3" fillId="0" borderId="1" xfId="0" applyNumberFormat="1" applyFont="1" applyBorder="1"/>
    <xf numFmtId="165" fontId="3" fillId="0" borderId="1" xfId="0" applyNumberFormat="1" applyFont="1" applyBorder="1" applyAlignment="1">
      <alignment horizontal="right"/>
    </xf>
    <xf numFmtId="0" fontId="3" fillId="0" borderId="0" xfId="0" applyFont="1" applyAlignment="1">
      <alignment horizontal="left" vertical="top" wrapText="1"/>
    </xf>
    <xf numFmtId="0" fontId="6" fillId="0" borderId="0" xfId="0" applyFont="1" applyAlignment="1">
      <alignment horizontal="left" vertical="top" wrapText="1"/>
    </xf>
    <xf numFmtId="0" fontId="1" fillId="0" borderId="0" xfId="0" applyFont="1" applyAlignment="1"/>
    <xf numFmtId="0" fontId="2" fillId="0" borderId="0" xfId="0" applyFont="1" applyAlignment="1"/>
    <xf numFmtId="0" fontId="6" fillId="0" borderId="0" xfId="0" applyFont="1" applyAlignment="1"/>
    <xf numFmtId="0" fontId="9"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78787"/>
      <rgbColor rgb="FF9999FF"/>
      <rgbColor rgb="FFBE4B48"/>
      <rgbColor rgb="FFFFF2CC"/>
      <rgbColor rgb="FFEFEF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D9EAD3"/>
      <rgbColor rgb="FFFFFF99"/>
      <rgbColor rgb="FF99CCFF"/>
      <rgbColor rgb="FFFF99CC"/>
      <rgbColor rgb="FFCC99FF"/>
      <rgbColor rgb="FFF4CCCC"/>
      <rgbColor rgb="FF4A7EBB"/>
      <rgbColor rgb="FF46AAC4"/>
      <rgbColor rgb="FF98B855"/>
      <rgbColor rgb="FFFFCC00"/>
      <rgbColor rgb="FFFF9900"/>
      <rgbColor rgb="FFFF6600"/>
      <rgbColor rgb="FF7D5FA0"/>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ESG Index Score by Company (FY2021-FY2025)</a:t>
            </a:r>
          </a:p>
        </c:rich>
      </c:tx>
      <c:overlay val="0"/>
      <c:spPr>
        <a:noFill/>
        <a:ln w="0">
          <a:noFill/>
        </a:ln>
      </c:spPr>
    </c:title>
    <c:autoTitleDeleted val="0"/>
    <c:plotArea>
      <c:layout/>
      <c:lineChart>
        <c:grouping val="standard"/>
        <c:varyColors val="0"/>
        <c:ser>
          <c:idx val="0"/>
          <c:order val="0"/>
          <c:tx>
            <c:strRef>
              <c:f>'Trend Charts'!B3</c:f>
              <c:strCache>
                <c:ptCount val="1"/>
                <c:pt idx="0">
                  <c:v>Afrimat Limited</c:v>
                </c:pt>
              </c:strCache>
            </c:strRef>
          </c:tx>
          <c:spPr>
            <a:ln w="28440">
              <a:solidFill>
                <a:srgbClr val="4A7EBB"/>
              </a:solidFill>
              <a:round/>
            </a:ln>
          </c:spPr>
          <c:marker>
            <c:symbol val="circle"/>
            <c:size val="6"/>
            <c:spPr>
              <a:solidFill>
                <a:srgbClr val="4A7EBB"/>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'Trend Charts'!$A$4:$A$8</c:f>
              <c:numCache>
                <c:formatCode>General</c:formatCode>
                <c:ptCount val="5"/>
                <c:pt idx="0">
                  <c:v>2021</c:v>
                </c:pt>
                <c:pt idx="1">
                  <c:v>2022</c:v>
                </c:pt>
                <c:pt idx="2">
                  <c:v>2023</c:v>
                </c:pt>
                <c:pt idx="3">
                  <c:v>2024</c:v>
                </c:pt>
                <c:pt idx="4">
                  <c:v>2025</c:v>
                </c:pt>
              </c:numCache>
            </c:numRef>
          </c:cat>
          <c:val>
            <c:numRef>
              <c:f>'Trend Charts'!$B$4:$B$8</c:f>
              <c:numCache>
                <c:formatCode>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0-B64F-4173-B624-7DA4E5EF1544}"/>
            </c:ext>
          </c:extLst>
        </c:ser>
        <c:ser>
          <c:idx val="1"/>
          <c:order val="1"/>
          <c:tx>
            <c:strRef>
              <c:f>'Trend Charts'!C3</c:f>
              <c:strCache>
                <c:ptCount val="1"/>
                <c:pt idx="0">
                  <c:v>AECI Limited</c:v>
                </c:pt>
              </c:strCache>
            </c:strRef>
          </c:tx>
          <c:spPr>
            <a:ln w="28440">
              <a:solidFill>
                <a:srgbClr val="BE4B48"/>
              </a:solidFill>
              <a:round/>
            </a:ln>
          </c:spPr>
          <c:marker>
            <c:symbol val="circle"/>
            <c:size val="6"/>
            <c:spPr>
              <a:solidFill>
                <a:srgbClr val="BE4B48"/>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'Trend Charts'!$A$4:$A$8</c:f>
              <c:numCache>
                <c:formatCode>General</c:formatCode>
                <c:ptCount val="5"/>
                <c:pt idx="0">
                  <c:v>2021</c:v>
                </c:pt>
                <c:pt idx="1">
                  <c:v>2022</c:v>
                </c:pt>
                <c:pt idx="2">
                  <c:v>2023</c:v>
                </c:pt>
                <c:pt idx="3">
                  <c:v>2024</c:v>
                </c:pt>
                <c:pt idx="4">
                  <c:v>2025</c:v>
                </c:pt>
              </c:numCache>
            </c:numRef>
          </c:cat>
          <c:val>
            <c:numRef>
              <c:f>'Trend Charts'!$C$4:$C$8</c:f>
              <c:numCache>
                <c:formatCode>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B64F-4173-B624-7DA4E5EF1544}"/>
            </c:ext>
          </c:extLst>
        </c:ser>
        <c:ser>
          <c:idx val="2"/>
          <c:order val="2"/>
          <c:tx>
            <c:strRef>
              <c:f>'Trend Charts'!D3</c:f>
              <c:strCache>
                <c:ptCount val="1"/>
                <c:pt idx="0">
                  <c:v>ArcelorMittal South Africa</c:v>
                </c:pt>
              </c:strCache>
            </c:strRef>
          </c:tx>
          <c:spPr>
            <a:ln w="28440">
              <a:solidFill>
                <a:srgbClr val="98B855"/>
              </a:solidFill>
              <a:round/>
            </a:ln>
          </c:spPr>
          <c:marker>
            <c:symbol val="circle"/>
            <c:size val="6"/>
            <c:spPr>
              <a:solidFill>
                <a:srgbClr val="98B855"/>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'Trend Charts'!$A$4:$A$8</c:f>
              <c:numCache>
                <c:formatCode>General</c:formatCode>
                <c:ptCount val="5"/>
                <c:pt idx="0">
                  <c:v>2021</c:v>
                </c:pt>
                <c:pt idx="1">
                  <c:v>2022</c:v>
                </c:pt>
                <c:pt idx="2">
                  <c:v>2023</c:v>
                </c:pt>
                <c:pt idx="3">
                  <c:v>2024</c:v>
                </c:pt>
                <c:pt idx="4">
                  <c:v>2025</c:v>
                </c:pt>
              </c:numCache>
            </c:numRef>
          </c:cat>
          <c:val>
            <c:numRef>
              <c:f>'Trend Charts'!$D$4:$D$8</c:f>
              <c:numCache>
                <c:formatCode>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2-B64F-4173-B624-7DA4E5EF1544}"/>
            </c:ext>
          </c:extLst>
        </c:ser>
        <c:ser>
          <c:idx val="3"/>
          <c:order val="3"/>
          <c:tx>
            <c:strRef>
              <c:f>'Trend Charts'!E3</c:f>
              <c:strCache>
                <c:ptCount val="1"/>
                <c:pt idx="0">
                  <c:v>Omnia Holdings Limited</c:v>
                </c:pt>
              </c:strCache>
            </c:strRef>
          </c:tx>
          <c:spPr>
            <a:ln w="28440">
              <a:solidFill>
                <a:srgbClr val="7D5FA0"/>
              </a:solidFill>
              <a:round/>
            </a:ln>
          </c:spPr>
          <c:marker>
            <c:symbol val="circle"/>
            <c:size val="6"/>
            <c:spPr>
              <a:solidFill>
                <a:srgbClr val="7D5FA0"/>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'Trend Charts'!$A$4:$A$8</c:f>
              <c:numCache>
                <c:formatCode>General</c:formatCode>
                <c:ptCount val="5"/>
                <c:pt idx="0">
                  <c:v>2021</c:v>
                </c:pt>
                <c:pt idx="1">
                  <c:v>2022</c:v>
                </c:pt>
                <c:pt idx="2">
                  <c:v>2023</c:v>
                </c:pt>
                <c:pt idx="3">
                  <c:v>2024</c:v>
                </c:pt>
                <c:pt idx="4">
                  <c:v>2025</c:v>
                </c:pt>
              </c:numCache>
            </c:numRef>
          </c:cat>
          <c:val>
            <c:numRef>
              <c:f>'Trend Charts'!$E$4:$E$8</c:f>
              <c:numCache>
                <c:formatCode>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3-B64F-4173-B624-7DA4E5EF1544}"/>
            </c:ext>
          </c:extLst>
        </c:ser>
        <c:ser>
          <c:idx val="4"/>
          <c:order val="4"/>
          <c:tx>
            <c:strRef>
              <c:f>'Trend Charts'!F3</c:f>
              <c:strCache>
                <c:ptCount val="1"/>
                <c:pt idx="0">
                  <c:v>Sasol Limited</c:v>
                </c:pt>
              </c:strCache>
            </c:strRef>
          </c:tx>
          <c:spPr>
            <a:ln w="28440">
              <a:solidFill>
                <a:srgbClr val="46AAC4"/>
              </a:solidFill>
              <a:round/>
            </a:ln>
          </c:spPr>
          <c:marker>
            <c:symbol val="circle"/>
            <c:size val="6"/>
            <c:spPr>
              <a:solidFill>
                <a:srgbClr val="46AAC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'Trend Charts'!$A$4:$A$8</c:f>
              <c:numCache>
                <c:formatCode>General</c:formatCode>
                <c:ptCount val="5"/>
                <c:pt idx="0">
                  <c:v>2021</c:v>
                </c:pt>
                <c:pt idx="1">
                  <c:v>2022</c:v>
                </c:pt>
                <c:pt idx="2">
                  <c:v>2023</c:v>
                </c:pt>
                <c:pt idx="3">
                  <c:v>2024</c:v>
                </c:pt>
                <c:pt idx="4">
                  <c:v>2025</c:v>
                </c:pt>
              </c:numCache>
            </c:numRef>
          </c:cat>
          <c:val>
            <c:numRef>
              <c:f>'Trend Charts'!$F$4:$F$8</c:f>
              <c:numCache>
                <c:formatCode>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4-B64F-4173-B624-7DA4E5EF1544}"/>
            </c:ext>
          </c:extLst>
        </c:ser>
        <c:dLbls>
          <c:showLegendKey val="0"/>
          <c:showVal val="0"/>
          <c:showCatName val="0"/>
          <c:showSerName val="0"/>
          <c:showPercent val="0"/>
          <c:showBubbleSize val="0"/>
        </c:dLbls>
        <c:hiLowLines>
          <c:spPr>
            <a:ln w="0">
              <a:noFill/>
            </a:ln>
          </c:spPr>
        </c:hiLowLines>
        <c:marker val="1"/>
        <c:smooth val="0"/>
        <c:axId val="21815412"/>
        <c:axId val="2724863"/>
      </c:lineChart>
      <c:catAx>
        <c:axId val="21815412"/>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24863"/>
        <c:crosses val="autoZero"/>
        <c:auto val="1"/>
        <c:lblAlgn val="ctr"/>
        <c:lblOffset val="100"/>
        <c:noMultiLvlLbl val="0"/>
      </c:catAx>
      <c:valAx>
        <c:axId val="272486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ESG Index Score (0-100)</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181541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Revenue (Rm) by Company (FY2021-FY2025)</a:t>
            </a:r>
          </a:p>
        </c:rich>
      </c:tx>
      <c:overlay val="0"/>
      <c:spPr>
        <a:noFill/>
        <a:ln w="0">
          <a:noFill/>
        </a:ln>
      </c:spPr>
    </c:title>
    <c:autoTitleDeleted val="0"/>
    <c:plotArea>
      <c:layout/>
      <c:lineChart>
        <c:grouping val="standard"/>
        <c:varyColors val="0"/>
        <c:ser>
          <c:idx val="0"/>
          <c:order val="0"/>
          <c:tx>
            <c:strRef>
              <c:f>'Trend Charts'!B34</c:f>
              <c:strCache>
                <c:ptCount val="1"/>
                <c:pt idx="0">
                  <c:v>Afrimat Limited</c:v>
                </c:pt>
              </c:strCache>
            </c:strRef>
          </c:tx>
          <c:spPr>
            <a:ln w="28440">
              <a:solidFill>
                <a:srgbClr val="4A7EBB"/>
              </a:solidFill>
              <a:round/>
            </a:ln>
          </c:spPr>
          <c:marker>
            <c:symbol val="circle"/>
            <c:size val="6"/>
            <c:spPr>
              <a:solidFill>
                <a:srgbClr val="4A7EBB"/>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'Trend Charts'!$A$35:$A$39</c:f>
              <c:numCache>
                <c:formatCode>General</c:formatCode>
                <c:ptCount val="5"/>
                <c:pt idx="0">
                  <c:v>2021</c:v>
                </c:pt>
                <c:pt idx="1">
                  <c:v>2022</c:v>
                </c:pt>
                <c:pt idx="2">
                  <c:v>2023</c:v>
                </c:pt>
                <c:pt idx="3">
                  <c:v>2024</c:v>
                </c:pt>
                <c:pt idx="4">
                  <c:v>2025</c:v>
                </c:pt>
              </c:numCache>
            </c:numRef>
          </c:cat>
          <c:val>
            <c:numRef>
              <c:f>'Trend Charts'!$B$35:$B$39</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0-392D-4AEF-B1BC-E13CC1F5A439}"/>
            </c:ext>
          </c:extLst>
        </c:ser>
        <c:ser>
          <c:idx val="1"/>
          <c:order val="1"/>
          <c:tx>
            <c:strRef>
              <c:f>'Trend Charts'!C34</c:f>
              <c:strCache>
                <c:ptCount val="1"/>
                <c:pt idx="0">
                  <c:v>AECI Limited</c:v>
                </c:pt>
              </c:strCache>
            </c:strRef>
          </c:tx>
          <c:spPr>
            <a:ln w="28440">
              <a:solidFill>
                <a:srgbClr val="BE4B48"/>
              </a:solidFill>
              <a:round/>
            </a:ln>
          </c:spPr>
          <c:marker>
            <c:symbol val="circle"/>
            <c:size val="6"/>
            <c:spPr>
              <a:solidFill>
                <a:srgbClr val="BE4B48"/>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'Trend Charts'!$A$35:$A$39</c:f>
              <c:numCache>
                <c:formatCode>General</c:formatCode>
                <c:ptCount val="5"/>
                <c:pt idx="0">
                  <c:v>2021</c:v>
                </c:pt>
                <c:pt idx="1">
                  <c:v>2022</c:v>
                </c:pt>
                <c:pt idx="2">
                  <c:v>2023</c:v>
                </c:pt>
                <c:pt idx="3">
                  <c:v>2024</c:v>
                </c:pt>
                <c:pt idx="4">
                  <c:v>2025</c:v>
                </c:pt>
              </c:numCache>
            </c:numRef>
          </c:cat>
          <c:val>
            <c:numRef>
              <c:f>'Trend Charts'!$C$35:$C$39</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392D-4AEF-B1BC-E13CC1F5A439}"/>
            </c:ext>
          </c:extLst>
        </c:ser>
        <c:ser>
          <c:idx val="2"/>
          <c:order val="2"/>
          <c:tx>
            <c:strRef>
              <c:f>'Trend Charts'!D34</c:f>
              <c:strCache>
                <c:ptCount val="1"/>
                <c:pt idx="0">
                  <c:v>ArcelorMittal South Africa</c:v>
                </c:pt>
              </c:strCache>
            </c:strRef>
          </c:tx>
          <c:spPr>
            <a:ln w="28440">
              <a:solidFill>
                <a:srgbClr val="98B855"/>
              </a:solidFill>
              <a:round/>
            </a:ln>
          </c:spPr>
          <c:marker>
            <c:symbol val="circle"/>
            <c:size val="6"/>
            <c:spPr>
              <a:solidFill>
                <a:srgbClr val="98B855"/>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'Trend Charts'!$A$35:$A$39</c:f>
              <c:numCache>
                <c:formatCode>General</c:formatCode>
                <c:ptCount val="5"/>
                <c:pt idx="0">
                  <c:v>2021</c:v>
                </c:pt>
                <c:pt idx="1">
                  <c:v>2022</c:v>
                </c:pt>
                <c:pt idx="2">
                  <c:v>2023</c:v>
                </c:pt>
                <c:pt idx="3">
                  <c:v>2024</c:v>
                </c:pt>
                <c:pt idx="4">
                  <c:v>2025</c:v>
                </c:pt>
              </c:numCache>
            </c:numRef>
          </c:cat>
          <c:val>
            <c:numRef>
              <c:f>'Trend Charts'!$D$35:$D$39</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2-392D-4AEF-B1BC-E13CC1F5A439}"/>
            </c:ext>
          </c:extLst>
        </c:ser>
        <c:ser>
          <c:idx val="3"/>
          <c:order val="3"/>
          <c:tx>
            <c:strRef>
              <c:f>'Trend Charts'!E34</c:f>
              <c:strCache>
                <c:ptCount val="1"/>
                <c:pt idx="0">
                  <c:v>Omnia Holdings Limited</c:v>
                </c:pt>
              </c:strCache>
            </c:strRef>
          </c:tx>
          <c:spPr>
            <a:ln w="28440">
              <a:solidFill>
                <a:srgbClr val="7D5FA0"/>
              </a:solidFill>
              <a:round/>
            </a:ln>
          </c:spPr>
          <c:marker>
            <c:symbol val="circle"/>
            <c:size val="6"/>
            <c:spPr>
              <a:solidFill>
                <a:srgbClr val="7D5FA0"/>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'Trend Charts'!$A$35:$A$39</c:f>
              <c:numCache>
                <c:formatCode>General</c:formatCode>
                <c:ptCount val="5"/>
                <c:pt idx="0">
                  <c:v>2021</c:v>
                </c:pt>
                <c:pt idx="1">
                  <c:v>2022</c:v>
                </c:pt>
                <c:pt idx="2">
                  <c:v>2023</c:v>
                </c:pt>
                <c:pt idx="3">
                  <c:v>2024</c:v>
                </c:pt>
                <c:pt idx="4">
                  <c:v>2025</c:v>
                </c:pt>
              </c:numCache>
            </c:numRef>
          </c:cat>
          <c:val>
            <c:numRef>
              <c:f>'Trend Charts'!$E$35:$E$39</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3-392D-4AEF-B1BC-E13CC1F5A439}"/>
            </c:ext>
          </c:extLst>
        </c:ser>
        <c:ser>
          <c:idx val="4"/>
          <c:order val="4"/>
          <c:tx>
            <c:strRef>
              <c:f>'Trend Charts'!F34</c:f>
              <c:strCache>
                <c:ptCount val="1"/>
                <c:pt idx="0">
                  <c:v>Sasol Limited</c:v>
                </c:pt>
              </c:strCache>
            </c:strRef>
          </c:tx>
          <c:spPr>
            <a:ln w="28440">
              <a:solidFill>
                <a:srgbClr val="46AAC4"/>
              </a:solidFill>
              <a:round/>
            </a:ln>
          </c:spPr>
          <c:marker>
            <c:symbol val="circle"/>
            <c:size val="6"/>
            <c:spPr>
              <a:solidFill>
                <a:srgbClr val="46AAC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'Trend Charts'!$A$35:$A$39</c:f>
              <c:numCache>
                <c:formatCode>General</c:formatCode>
                <c:ptCount val="5"/>
                <c:pt idx="0">
                  <c:v>2021</c:v>
                </c:pt>
                <c:pt idx="1">
                  <c:v>2022</c:v>
                </c:pt>
                <c:pt idx="2">
                  <c:v>2023</c:v>
                </c:pt>
                <c:pt idx="3">
                  <c:v>2024</c:v>
                </c:pt>
                <c:pt idx="4">
                  <c:v>2025</c:v>
                </c:pt>
              </c:numCache>
            </c:numRef>
          </c:cat>
          <c:val>
            <c:numRef>
              <c:f>'Trend Charts'!$F$35:$F$39</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4-392D-4AEF-B1BC-E13CC1F5A439}"/>
            </c:ext>
          </c:extLst>
        </c:ser>
        <c:dLbls>
          <c:showLegendKey val="0"/>
          <c:showVal val="0"/>
          <c:showCatName val="0"/>
          <c:showSerName val="0"/>
          <c:showPercent val="0"/>
          <c:showBubbleSize val="0"/>
        </c:dLbls>
        <c:hiLowLines>
          <c:spPr>
            <a:ln w="0">
              <a:noFill/>
            </a:ln>
          </c:spPr>
        </c:hiLowLines>
        <c:marker val="1"/>
        <c:smooth val="0"/>
        <c:axId val="72385855"/>
        <c:axId val="88453309"/>
      </c:lineChart>
      <c:catAx>
        <c:axId val="72385855"/>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453309"/>
        <c:crosses val="autoZero"/>
        <c:auto val="1"/>
        <c:lblAlgn val="ctr"/>
        <c:lblOffset val="100"/>
        <c:noMultiLvlLbl val="0"/>
      </c:catAx>
      <c:valAx>
        <c:axId val="8845330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Revenue (Rm)</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38585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78120</xdr:rowOff>
    </xdr:from>
    <xdr:to>
      <xdr:col>8</xdr:col>
      <xdr:colOff>493920</xdr:colOff>
      <xdr:row>32</xdr:row>
      <xdr:rowOff>16200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39</xdr:row>
      <xdr:rowOff>156240</xdr:rowOff>
    </xdr:from>
    <xdr:to>
      <xdr:col>8</xdr:col>
      <xdr:colOff>493920</xdr:colOff>
      <xdr:row>62</xdr:row>
      <xdr:rowOff>94320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zoomScaleNormal="100" workbookViewId="0">
      <pane ySplit="5" topLeftCell="A6" activePane="bottomLeft" state="frozen"/>
      <selection pane="bottomLeft"/>
    </sheetView>
  </sheetViews>
  <sheetFormatPr defaultColWidth="8.7109375" defaultRowHeight="15"/>
  <cols>
    <col min="1" max="1" width="22" customWidth="1"/>
    <col min="2" max="2" width="16" customWidth="1"/>
    <col min="3" max="3" width="46" customWidth="1"/>
    <col min="4" max="4" width="26" customWidth="1"/>
    <col min="5" max="5" width="22" customWidth="1"/>
    <col min="6" max="6" width="46" customWidth="1"/>
  </cols>
  <sheetData>
    <row r="1" spans="1:6" ht="16.149999999999999">
      <c r="A1" s="40" t="s">
        <v>0</v>
      </c>
      <c r="B1" s="40"/>
      <c r="C1" s="40"/>
      <c r="D1" s="40"/>
      <c r="E1" s="40"/>
      <c r="F1" s="40"/>
    </row>
    <row r="2" spans="1:6">
      <c r="A2" s="41" t="s">
        <v>1</v>
      </c>
      <c r="B2" s="41"/>
      <c r="C2" s="41"/>
      <c r="D2" s="41"/>
      <c r="E2" s="41"/>
      <c r="F2" s="41"/>
    </row>
    <row r="4" spans="1:6" ht="75" customHeight="1">
      <c r="A4" s="38" t="s">
        <v>2</v>
      </c>
      <c r="B4" s="38"/>
      <c r="C4" s="38"/>
      <c r="D4" s="38"/>
      <c r="E4" s="38"/>
      <c r="F4" s="38"/>
    </row>
    <row r="6" spans="1:6">
      <c r="A6" s="1" t="s">
        <v>3</v>
      </c>
      <c r="B6" s="1" t="s">
        <v>4</v>
      </c>
      <c r="C6" s="1" t="s">
        <v>5</v>
      </c>
      <c r="D6" s="1" t="s">
        <v>6</v>
      </c>
      <c r="E6" s="1" t="s">
        <v>7</v>
      </c>
      <c r="F6" s="1" t="s">
        <v>8</v>
      </c>
    </row>
    <row r="7" spans="1:6" ht="60" customHeight="1">
      <c r="A7" s="2" t="s">
        <v>9</v>
      </c>
      <c r="B7" s="2" t="s">
        <v>10</v>
      </c>
      <c r="C7" s="2" t="s">
        <v>11</v>
      </c>
      <c r="D7" s="2" t="s">
        <v>12</v>
      </c>
      <c r="E7" s="2" t="s">
        <v>13</v>
      </c>
      <c r="F7" s="2" t="s">
        <v>14</v>
      </c>
    </row>
    <row r="8" spans="1:6" ht="60" customHeight="1">
      <c r="A8" s="2" t="s">
        <v>15</v>
      </c>
      <c r="B8" s="2" t="s">
        <v>16</v>
      </c>
      <c r="C8" s="2" t="s">
        <v>17</v>
      </c>
      <c r="D8" s="2" t="s">
        <v>18</v>
      </c>
      <c r="E8" s="2" t="s">
        <v>19</v>
      </c>
      <c r="F8" s="2" t="s">
        <v>20</v>
      </c>
    </row>
    <row r="9" spans="1:6" ht="60" customHeight="1">
      <c r="A9" s="2" t="s">
        <v>21</v>
      </c>
      <c r="B9" s="2" t="s">
        <v>22</v>
      </c>
      <c r="C9" s="2" t="s">
        <v>23</v>
      </c>
      <c r="D9" s="2" t="s">
        <v>24</v>
      </c>
      <c r="E9" s="2" t="s">
        <v>25</v>
      </c>
      <c r="F9" s="2" t="s">
        <v>26</v>
      </c>
    </row>
    <row r="10" spans="1:6" ht="60" customHeight="1">
      <c r="A10" s="2" t="s">
        <v>27</v>
      </c>
      <c r="B10" s="2" t="s">
        <v>22</v>
      </c>
      <c r="C10" s="2" t="s">
        <v>28</v>
      </c>
      <c r="D10" s="2" t="s">
        <v>24</v>
      </c>
      <c r="E10" s="2" t="s">
        <v>25</v>
      </c>
      <c r="F10" s="2" t="s">
        <v>29</v>
      </c>
    </row>
    <row r="11" spans="1:6" ht="60" customHeight="1">
      <c r="A11" s="2" t="s">
        <v>30</v>
      </c>
      <c r="B11" s="2" t="s">
        <v>22</v>
      </c>
      <c r="C11" s="2" t="s">
        <v>31</v>
      </c>
      <c r="D11" s="2" t="s">
        <v>24</v>
      </c>
      <c r="E11" s="2" t="s">
        <v>25</v>
      </c>
      <c r="F11" s="2" t="s">
        <v>32</v>
      </c>
    </row>
    <row r="12" spans="1:6" ht="60" customHeight="1">
      <c r="A12" s="2" t="s">
        <v>33</v>
      </c>
      <c r="B12" s="2" t="s">
        <v>22</v>
      </c>
      <c r="C12" s="2" t="s">
        <v>34</v>
      </c>
      <c r="D12" s="2" t="s">
        <v>35</v>
      </c>
      <c r="E12" s="2" t="s">
        <v>25</v>
      </c>
      <c r="F12" s="2" t="s">
        <v>36</v>
      </c>
    </row>
    <row r="13" spans="1:6" ht="60" customHeight="1">
      <c r="A13" s="2" t="s">
        <v>37</v>
      </c>
      <c r="B13" s="2" t="s">
        <v>22</v>
      </c>
      <c r="C13" s="2" t="s">
        <v>38</v>
      </c>
      <c r="D13" s="2" t="s">
        <v>35</v>
      </c>
      <c r="E13" s="2" t="s">
        <v>25</v>
      </c>
      <c r="F13" s="2" t="s">
        <v>39</v>
      </c>
    </row>
    <row r="14" spans="1:6" ht="60" customHeight="1">
      <c r="A14" s="2" t="s">
        <v>40</v>
      </c>
      <c r="B14" s="2" t="s">
        <v>22</v>
      </c>
      <c r="C14" s="2" t="s">
        <v>41</v>
      </c>
      <c r="D14" s="2" t="s">
        <v>42</v>
      </c>
      <c r="E14" s="2" t="s">
        <v>25</v>
      </c>
      <c r="F14" s="2" t="s">
        <v>43</v>
      </c>
    </row>
    <row r="15" spans="1:6" ht="60" customHeight="1">
      <c r="A15" s="2" t="s">
        <v>44</v>
      </c>
      <c r="B15" s="2" t="s">
        <v>45</v>
      </c>
      <c r="C15" s="2" t="s">
        <v>46</v>
      </c>
      <c r="D15" s="2" t="s">
        <v>47</v>
      </c>
      <c r="E15" s="2" t="s">
        <v>25</v>
      </c>
      <c r="F15" s="2" t="s">
        <v>48</v>
      </c>
    </row>
    <row r="16" spans="1:6" ht="60" customHeight="1">
      <c r="A16" s="2" t="s">
        <v>49</v>
      </c>
      <c r="B16" s="2" t="s">
        <v>50</v>
      </c>
      <c r="C16" s="2" t="s">
        <v>51</v>
      </c>
      <c r="D16" s="2" t="s">
        <v>52</v>
      </c>
      <c r="E16" s="2" t="s">
        <v>53</v>
      </c>
      <c r="F16" s="2" t="s">
        <v>54</v>
      </c>
    </row>
    <row r="17" spans="1:6" ht="60" customHeight="1">
      <c r="A17" s="2" t="s">
        <v>55</v>
      </c>
      <c r="B17" s="2" t="s">
        <v>50</v>
      </c>
      <c r="C17" s="2" t="s">
        <v>56</v>
      </c>
      <c r="D17" s="2" t="s">
        <v>57</v>
      </c>
      <c r="E17" s="2" t="s">
        <v>53</v>
      </c>
      <c r="F17" s="2" t="s">
        <v>58</v>
      </c>
    </row>
    <row r="18" spans="1:6" ht="60" customHeight="1">
      <c r="A18" s="2" t="s">
        <v>59</v>
      </c>
      <c r="B18" s="2" t="s">
        <v>60</v>
      </c>
      <c r="C18" s="2" t="s">
        <v>61</v>
      </c>
      <c r="D18" s="2" t="s">
        <v>57</v>
      </c>
      <c r="E18" s="2" t="s">
        <v>53</v>
      </c>
      <c r="F18" s="2" t="s">
        <v>62</v>
      </c>
    </row>
    <row r="19" spans="1:6" ht="60" customHeight="1">
      <c r="A19" s="2" t="s">
        <v>63</v>
      </c>
      <c r="B19" s="2" t="s">
        <v>64</v>
      </c>
      <c r="C19" s="2" t="s">
        <v>65</v>
      </c>
      <c r="D19" s="2" t="s">
        <v>66</v>
      </c>
      <c r="E19" s="2" t="s">
        <v>67</v>
      </c>
      <c r="F19" s="2" t="s">
        <v>68</v>
      </c>
    </row>
    <row r="20" spans="1:6" ht="60" customHeight="1">
      <c r="A20" s="2" t="s">
        <v>69</v>
      </c>
      <c r="B20" s="2" t="s">
        <v>70</v>
      </c>
      <c r="C20" s="2" t="s">
        <v>71</v>
      </c>
      <c r="D20" s="2" t="s">
        <v>72</v>
      </c>
      <c r="E20" s="2" t="s">
        <v>67</v>
      </c>
      <c r="F20" s="2" t="s">
        <v>73</v>
      </c>
    </row>
    <row r="21" spans="1:6" ht="60" customHeight="1">
      <c r="A21" s="2" t="s">
        <v>74</v>
      </c>
      <c r="B21" s="2" t="s">
        <v>75</v>
      </c>
      <c r="C21" s="2" t="s">
        <v>76</v>
      </c>
      <c r="D21" s="2" t="s">
        <v>72</v>
      </c>
      <c r="E21" s="2" t="s">
        <v>67</v>
      </c>
      <c r="F21" s="2" t="s">
        <v>77</v>
      </c>
    </row>
    <row r="22" spans="1:6" ht="60" customHeight="1">
      <c r="A22" s="2" t="s">
        <v>78</v>
      </c>
      <c r="B22" s="2" t="s">
        <v>79</v>
      </c>
      <c r="C22" s="2" t="s">
        <v>80</v>
      </c>
      <c r="D22" s="2" t="s">
        <v>81</v>
      </c>
      <c r="E22" s="2" t="s">
        <v>82</v>
      </c>
      <c r="F22" s="2" t="s">
        <v>83</v>
      </c>
    </row>
    <row r="23" spans="1:6" ht="60" customHeight="1">
      <c r="A23" s="2" t="s">
        <v>84</v>
      </c>
      <c r="B23" s="2" t="s">
        <v>85</v>
      </c>
      <c r="C23" s="2" t="s">
        <v>86</v>
      </c>
      <c r="D23" s="2" t="s">
        <v>87</v>
      </c>
      <c r="E23" s="2" t="s">
        <v>82</v>
      </c>
      <c r="F23" s="2" t="s">
        <v>88</v>
      </c>
    </row>
    <row r="24" spans="1:6" ht="60" customHeight="1">
      <c r="A24" s="2" t="s">
        <v>89</v>
      </c>
      <c r="B24" s="2" t="s">
        <v>90</v>
      </c>
      <c r="C24" s="2" t="s">
        <v>91</v>
      </c>
      <c r="D24" s="2" t="s">
        <v>92</v>
      </c>
      <c r="E24" s="2" t="s">
        <v>93</v>
      </c>
      <c r="F24" s="2" t="s">
        <v>94</v>
      </c>
    </row>
    <row r="25" spans="1:6" ht="60" customHeight="1">
      <c r="A25" s="2" t="s">
        <v>95</v>
      </c>
      <c r="B25" s="2" t="s">
        <v>22</v>
      </c>
      <c r="C25" s="2" t="s">
        <v>96</v>
      </c>
      <c r="D25" s="2" t="s">
        <v>97</v>
      </c>
      <c r="E25" s="2" t="s">
        <v>82</v>
      </c>
      <c r="F25" s="2" t="s">
        <v>98</v>
      </c>
    </row>
  </sheetData>
  <mergeCells count="3">
    <mergeCell ref="A1:F1"/>
    <mergeCell ref="A2:F2"/>
    <mergeCell ref="A4:F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4"/>
  <sheetViews>
    <sheetView zoomScaleNormal="100" workbookViewId="0">
      <pane ySplit="1" topLeftCell="A2" activePane="bottomLeft" state="frozen"/>
      <selection pane="bottomLeft" activeCell="B15" sqref="B15"/>
    </sheetView>
  </sheetViews>
  <sheetFormatPr defaultColWidth="8.7109375" defaultRowHeight="15"/>
  <cols>
    <col min="1" max="1" width="22" customWidth="1"/>
    <col min="2" max="2" width="8" customWidth="1"/>
    <col min="3" max="3" width="20" customWidth="1"/>
    <col min="4" max="4" width="6" customWidth="1"/>
    <col min="5" max="5" width="9" customWidth="1"/>
    <col min="6" max="6" width="11" customWidth="1"/>
    <col min="7" max="7" width="13" customWidth="1"/>
    <col min="8" max="11" width="11" customWidth="1"/>
    <col min="12" max="12" width="9" customWidth="1"/>
    <col min="13" max="14" width="12" customWidth="1"/>
    <col min="15" max="15" width="13" customWidth="1"/>
    <col min="16" max="16" width="12" customWidth="1"/>
    <col min="17" max="17" width="10" customWidth="1"/>
    <col min="18" max="21" width="9" customWidth="1"/>
    <col min="22" max="22" width="10" customWidth="1"/>
    <col min="23" max="23" width="9" customWidth="1"/>
    <col min="24" max="24" width="12" customWidth="1"/>
    <col min="25" max="25" width="11" customWidth="1"/>
  </cols>
  <sheetData>
    <row r="1" spans="1:25" ht="35.1">
      <c r="A1" s="1" t="s">
        <v>99</v>
      </c>
      <c r="B1" s="1" t="s">
        <v>100</v>
      </c>
      <c r="C1" s="1" t="s">
        <v>101</v>
      </c>
      <c r="D1" s="1" t="s">
        <v>102</v>
      </c>
      <c r="E1" s="1" t="s">
        <v>103</v>
      </c>
      <c r="F1" s="1" t="s">
        <v>104</v>
      </c>
      <c r="G1" s="1" t="s">
        <v>105</v>
      </c>
      <c r="H1" s="1" t="s">
        <v>106</v>
      </c>
      <c r="I1" s="1" t="s">
        <v>107</v>
      </c>
      <c r="J1" s="1" t="s">
        <v>108</v>
      </c>
      <c r="K1" s="1" t="s">
        <v>109</v>
      </c>
      <c r="L1" s="1" t="s">
        <v>110</v>
      </c>
      <c r="M1" s="1" t="s">
        <v>111</v>
      </c>
      <c r="N1" s="1" t="s">
        <v>112</v>
      </c>
      <c r="O1" s="1" t="s">
        <v>113</v>
      </c>
      <c r="P1" s="1" t="s">
        <v>114</v>
      </c>
      <c r="Q1" s="1" t="s">
        <v>115</v>
      </c>
      <c r="R1" s="1" t="s">
        <v>116</v>
      </c>
      <c r="S1" s="1" t="s">
        <v>117</v>
      </c>
      <c r="T1" s="1" t="s">
        <v>118</v>
      </c>
      <c r="U1" s="1" t="s">
        <v>119</v>
      </c>
      <c r="V1" s="1" t="s">
        <v>120</v>
      </c>
      <c r="W1" s="1" t="s">
        <v>121</v>
      </c>
      <c r="X1" s="1" t="s">
        <v>122</v>
      </c>
      <c r="Y1" s="1" t="s">
        <v>123</v>
      </c>
    </row>
    <row r="2" spans="1:25">
      <c r="A2" s="3" t="s">
        <v>124</v>
      </c>
      <c r="B2" s="3" t="s">
        <v>125</v>
      </c>
      <c r="C2" s="3" t="s">
        <v>126</v>
      </c>
      <c r="D2" s="4">
        <v>2021</v>
      </c>
      <c r="E2" s="4" t="s">
        <v>127</v>
      </c>
      <c r="F2" s="5">
        <v>3693.759</v>
      </c>
      <c r="G2" s="5">
        <v>886.29100000000005</v>
      </c>
      <c r="H2" s="5">
        <v>601.25400000000002</v>
      </c>
      <c r="I2" s="5">
        <v>4455.32</v>
      </c>
      <c r="J2" s="5">
        <v>2258.4070000000002</v>
      </c>
      <c r="K2" s="5">
        <v>513.90099999999995</v>
      </c>
      <c r="L2" s="6">
        <v>444.1</v>
      </c>
      <c r="M2" s="5">
        <v>89662</v>
      </c>
      <c r="N2" s="5">
        <v>45265.8</v>
      </c>
      <c r="O2" s="5">
        <v>134927.79999999999</v>
      </c>
      <c r="P2" s="5">
        <v>518029</v>
      </c>
      <c r="Q2" s="5">
        <v>2625</v>
      </c>
      <c r="R2" s="3" t="s">
        <v>128</v>
      </c>
      <c r="S2" s="5">
        <v>0.61</v>
      </c>
      <c r="T2" s="4"/>
      <c r="U2" s="5">
        <v>3</v>
      </c>
      <c r="V2" s="5">
        <v>8</v>
      </c>
      <c r="W2" s="5"/>
      <c r="X2" s="5"/>
      <c r="Y2" s="5">
        <v>25.4</v>
      </c>
    </row>
    <row r="3" spans="1:25">
      <c r="A3" s="3" t="s">
        <v>124</v>
      </c>
      <c r="B3" s="3" t="s">
        <v>125</v>
      </c>
      <c r="C3" s="3" t="s">
        <v>126</v>
      </c>
      <c r="D3" s="4">
        <v>2022</v>
      </c>
      <c r="E3" s="4" t="s">
        <v>127</v>
      </c>
      <c r="F3" s="5">
        <v>4680.0780000000004</v>
      </c>
      <c r="G3" s="5">
        <v>1108.9110000000001</v>
      </c>
      <c r="H3" s="5">
        <v>772.71400000000006</v>
      </c>
      <c r="I3" s="5">
        <v>5046.2969999999996</v>
      </c>
      <c r="J3" s="5">
        <v>3007.2</v>
      </c>
      <c r="K3" s="5">
        <v>643.82600000000002</v>
      </c>
      <c r="L3" s="6">
        <v>560.70000000000005</v>
      </c>
      <c r="M3" s="5">
        <v>125619.9</v>
      </c>
      <c r="N3" s="5">
        <v>44569.8</v>
      </c>
      <c r="O3" s="5">
        <v>170189.7</v>
      </c>
      <c r="P3" s="5">
        <v>810024</v>
      </c>
      <c r="Q3" s="5">
        <v>2511</v>
      </c>
      <c r="R3" s="3" t="s">
        <v>128</v>
      </c>
      <c r="S3" s="5">
        <v>0.57999999999999996</v>
      </c>
      <c r="T3" s="4"/>
      <c r="U3" s="5">
        <v>3</v>
      </c>
      <c r="V3" s="5">
        <v>15</v>
      </c>
      <c r="W3" s="5">
        <v>32</v>
      </c>
      <c r="X3" s="5">
        <v>2030</v>
      </c>
      <c r="Y3" s="5">
        <v>38</v>
      </c>
    </row>
    <row r="4" spans="1:25">
      <c r="A4" s="3" t="s">
        <v>124</v>
      </c>
      <c r="B4" s="3" t="s">
        <v>125</v>
      </c>
      <c r="C4" s="3" t="s">
        <v>126</v>
      </c>
      <c r="D4" s="4">
        <v>2023</v>
      </c>
      <c r="E4" s="4" t="s">
        <v>127</v>
      </c>
      <c r="F4" s="5">
        <v>4908.2380000000003</v>
      </c>
      <c r="G4" s="5">
        <v>961.56100000000004</v>
      </c>
      <c r="H4" s="5">
        <v>661.32</v>
      </c>
      <c r="I4" s="5">
        <v>5681.1319999999996</v>
      </c>
      <c r="J4" s="5">
        <v>3849.0140000000001</v>
      </c>
      <c r="K4" s="5">
        <v>312.57600000000002</v>
      </c>
      <c r="L4" s="6">
        <v>457.1</v>
      </c>
      <c r="M4" s="5">
        <v>112789.6</v>
      </c>
      <c r="N4" s="5">
        <v>50194.3</v>
      </c>
      <c r="O4" s="5">
        <v>162983.9</v>
      </c>
      <c r="P4" s="5">
        <v>1384706</v>
      </c>
      <c r="Q4" s="5">
        <v>2668</v>
      </c>
      <c r="R4" s="3" t="s">
        <v>128</v>
      </c>
      <c r="S4" s="5">
        <v>0.34</v>
      </c>
      <c r="T4" s="4"/>
      <c r="U4" s="5">
        <v>2</v>
      </c>
      <c r="V4" s="5">
        <v>17</v>
      </c>
      <c r="W4" s="5">
        <v>32</v>
      </c>
      <c r="X4" s="5">
        <v>2030</v>
      </c>
      <c r="Y4" s="5">
        <v>50.4</v>
      </c>
    </row>
    <row r="5" spans="1:25">
      <c r="A5" s="3" t="s">
        <v>124</v>
      </c>
      <c r="B5" s="3" t="s">
        <v>125</v>
      </c>
      <c r="C5" s="3" t="s">
        <v>126</v>
      </c>
      <c r="D5" s="4">
        <v>2024</v>
      </c>
      <c r="E5" s="4" t="s">
        <v>127</v>
      </c>
      <c r="F5" s="5">
        <v>6083.28</v>
      </c>
      <c r="G5" s="5">
        <v>1152.365</v>
      </c>
      <c r="H5" s="5">
        <v>781.77599999999995</v>
      </c>
      <c r="I5" s="5">
        <v>6748.527</v>
      </c>
      <c r="J5" s="5">
        <v>4563.0410000000002</v>
      </c>
      <c r="K5" s="5">
        <v>557.125</v>
      </c>
      <c r="L5" s="6">
        <v>520.29999999999995</v>
      </c>
      <c r="M5" s="5">
        <v>127915.8</v>
      </c>
      <c r="N5" s="5">
        <v>49349.5</v>
      </c>
      <c r="O5" s="5">
        <v>177265.3</v>
      </c>
      <c r="P5" s="5">
        <v>1586935</v>
      </c>
      <c r="Q5" s="5">
        <v>2755</v>
      </c>
      <c r="R5" s="3" t="s">
        <v>128</v>
      </c>
      <c r="S5" s="5">
        <v>0.28999999999999998</v>
      </c>
      <c r="T5" s="4"/>
      <c r="U5" s="5">
        <v>2</v>
      </c>
      <c r="V5" s="5">
        <v>17</v>
      </c>
      <c r="W5" s="5">
        <v>32</v>
      </c>
      <c r="X5" s="5">
        <v>2030</v>
      </c>
      <c r="Y5" s="5">
        <v>73.599999999999994</v>
      </c>
    </row>
    <row r="6" spans="1:25">
      <c r="A6" s="3" t="s">
        <v>124</v>
      </c>
      <c r="B6" s="3" t="s">
        <v>125</v>
      </c>
      <c r="C6" s="3" t="s">
        <v>126</v>
      </c>
      <c r="D6" s="4">
        <v>2025</v>
      </c>
      <c r="E6" s="4" t="s">
        <v>127</v>
      </c>
      <c r="F6" s="5">
        <v>8317.7659999999996</v>
      </c>
      <c r="G6" s="5">
        <v>477.73500000000001</v>
      </c>
      <c r="H6" s="5">
        <v>95.561999999999998</v>
      </c>
      <c r="I6" s="5">
        <v>9203.2939999999999</v>
      </c>
      <c r="J6" s="5">
        <v>4388.26</v>
      </c>
      <c r="K6" s="5">
        <v>1859.2670000000001</v>
      </c>
      <c r="L6" s="6">
        <v>63</v>
      </c>
      <c r="M6" s="5">
        <v>154217</v>
      </c>
      <c r="N6" s="5">
        <v>49049</v>
      </c>
      <c r="O6" s="5">
        <v>203266</v>
      </c>
      <c r="P6" s="5">
        <v>1922937</v>
      </c>
      <c r="Q6" s="5">
        <v>3829</v>
      </c>
      <c r="R6" s="3" t="s">
        <v>128</v>
      </c>
      <c r="S6" s="5">
        <v>0.27</v>
      </c>
      <c r="T6" s="4"/>
      <c r="U6" s="5">
        <v>2</v>
      </c>
      <c r="V6" s="5">
        <v>17</v>
      </c>
      <c r="W6" s="5"/>
      <c r="X6" s="5">
        <v>2050</v>
      </c>
      <c r="Y6" s="5">
        <v>62.3</v>
      </c>
    </row>
    <row r="7" spans="1:25">
      <c r="A7" s="3" t="s">
        <v>129</v>
      </c>
      <c r="B7" s="3" t="s">
        <v>130</v>
      </c>
      <c r="C7" s="3" t="s">
        <v>131</v>
      </c>
      <c r="D7" s="4">
        <v>2021</v>
      </c>
      <c r="E7" s="4" t="s">
        <v>127</v>
      </c>
      <c r="F7" s="5">
        <v>26053</v>
      </c>
      <c r="G7" s="5">
        <v>2052</v>
      </c>
      <c r="H7" s="5">
        <v>1210</v>
      </c>
      <c r="I7" s="5"/>
      <c r="J7" s="5">
        <v>11589</v>
      </c>
      <c r="K7" s="5">
        <v>2760</v>
      </c>
      <c r="L7" s="6">
        <v>1125</v>
      </c>
      <c r="M7" s="5">
        <v>266291</v>
      </c>
      <c r="N7" s="5">
        <v>235043</v>
      </c>
      <c r="O7" s="5">
        <v>501334</v>
      </c>
      <c r="P7" s="5">
        <v>1755929</v>
      </c>
      <c r="Q7" s="5">
        <v>7030</v>
      </c>
      <c r="R7" s="3" t="s">
        <v>132</v>
      </c>
      <c r="S7" s="5">
        <v>0.23</v>
      </c>
      <c r="T7" s="4">
        <v>0</v>
      </c>
      <c r="U7" s="5">
        <v>3</v>
      </c>
      <c r="V7" s="5">
        <v>36</v>
      </c>
      <c r="W7" s="5"/>
      <c r="X7" s="5">
        <v>2050</v>
      </c>
      <c r="Y7" s="5">
        <v>34.799999999999997</v>
      </c>
    </row>
    <row r="8" spans="1:25">
      <c r="A8" s="3" t="s">
        <v>129</v>
      </c>
      <c r="B8" s="3" t="s">
        <v>130</v>
      </c>
      <c r="C8" s="3" t="s">
        <v>131</v>
      </c>
      <c r="D8" s="4">
        <v>2022</v>
      </c>
      <c r="E8" s="4" t="s">
        <v>127</v>
      </c>
      <c r="F8" s="5">
        <v>35583</v>
      </c>
      <c r="G8" s="5">
        <v>2047</v>
      </c>
      <c r="H8" s="5">
        <v>956</v>
      </c>
      <c r="I8" s="5"/>
      <c r="J8" s="5">
        <v>11800</v>
      </c>
      <c r="K8" s="5">
        <v>5300</v>
      </c>
      <c r="L8" s="6">
        <v>878</v>
      </c>
      <c r="M8" s="5">
        <v>267919</v>
      </c>
      <c r="N8" s="5">
        <v>225882</v>
      </c>
      <c r="O8" s="5">
        <v>493801</v>
      </c>
      <c r="P8" s="5">
        <v>1793455</v>
      </c>
      <c r="Q8" s="5">
        <v>7168</v>
      </c>
      <c r="R8" s="3" t="s">
        <v>132</v>
      </c>
      <c r="S8" s="5">
        <v>0.15</v>
      </c>
      <c r="T8" s="4">
        <v>0</v>
      </c>
      <c r="U8" s="5">
        <v>3</v>
      </c>
      <c r="V8" s="5">
        <v>40</v>
      </c>
      <c r="W8" s="5"/>
      <c r="X8" s="5">
        <v>2050</v>
      </c>
      <c r="Y8" s="5">
        <v>36.200000000000003</v>
      </c>
    </row>
    <row r="9" spans="1:25">
      <c r="A9" s="3" t="s">
        <v>129</v>
      </c>
      <c r="B9" s="3" t="s">
        <v>130</v>
      </c>
      <c r="C9" s="3" t="s">
        <v>131</v>
      </c>
      <c r="D9" s="4">
        <v>2023</v>
      </c>
      <c r="E9" s="4" t="s">
        <v>127</v>
      </c>
      <c r="F9" s="5">
        <v>37500</v>
      </c>
      <c r="G9" s="5">
        <v>2571</v>
      </c>
      <c r="H9" s="5">
        <v>1180</v>
      </c>
      <c r="I9" s="5"/>
      <c r="J9" s="5">
        <v>12400</v>
      </c>
      <c r="K9" s="5">
        <v>4300</v>
      </c>
      <c r="L9" s="6">
        <v>1112</v>
      </c>
      <c r="M9" s="5">
        <v>213711</v>
      </c>
      <c r="N9" s="5">
        <v>226177</v>
      </c>
      <c r="O9" s="5">
        <v>439888</v>
      </c>
      <c r="P9" s="5">
        <v>1678865</v>
      </c>
      <c r="Q9" s="5">
        <v>7189</v>
      </c>
      <c r="R9" s="3" t="s">
        <v>132</v>
      </c>
      <c r="S9" s="5">
        <v>0.35</v>
      </c>
      <c r="T9" s="4">
        <v>2</v>
      </c>
      <c r="U9" s="5">
        <v>3</v>
      </c>
      <c r="V9" s="5">
        <v>50</v>
      </c>
      <c r="W9" s="5"/>
      <c r="X9" s="5">
        <v>2050</v>
      </c>
      <c r="Y9" s="5">
        <v>40</v>
      </c>
    </row>
    <row r="10" spans="1:25">
      <c r="A10" s="3" t="s">
        <v>129</v>
      </c>
      <c r="B10" s="3" t="s">
        <v>130</v>
      </c>
      <c r="C10" s="3" t="s">
        <v>131</v>
      </c>
      <c r="D10" s="4">
        <v>2024</v>
      </c>
      <c r="E10" s="4" t="s">
        <v>127</v>
      </c>
      <c r="F10" s="5">
        <v>33598</v>
      </c>
      <c r="G10" s="5"/>
      <c r="H10" s="5">
        <v>-255</v>
      </c>
      <c r="I10" s="5"/>
      <c r="J10" s="5">
        <v>12100</v>
      </c>
      <c r="K10" s="5">
        <v>3738</v>
      </c>
      <c r="L10" s="6">
        <v>-268</v>
      </c>
      <c r="M10" s="5"/>
      <c r="N10" s="5"/>
      <c r="O10" s="5">
        <v>416337</v>
      </c>
      <c r="P10" s="5">
        <v>1638050</v>
      </c>
      <c r="Q10" s="5">
        <v>6938</v>
      </c>
      <c r="R10" s="3" t="s">
        <v>132</v>
      </c>
      <c r="S10" s="5">
        <v>0.31</v>
      </c>
      <c r="T10" s="4">
        <v>0</v>
      </c>
      <c r="U10" s="5">
        <v>3</v>
      </c>
      <c r="V10" s="5">
        <v>44</v>
      </c>
      <c r="W10" s="5">
        <v>10</v>
      </c>
      <c r="X10" s="5">
        <v>2025</v>
      </c>
      <c r="Y10" s="5">
        <v>28.5</v>
      </c>
    </row>
    <row r="11" spans="1:25">
      <c r="A11" s="3" t="s">
        <v>129</v>
      </c>
      <c r="B11" s="3" t="s">
        <v>130</v>
      </c>
      <c r="C11" s="3" t="s">
        <v>131</v>
      </c>
      <c r="D11" s="4">
        <v>2025</v>
      </c>
      <c r="E11" s="4" t="s">
        <v>127</v>
      </c>
      <c r="F11" s="5">
        <v>32183</v>
      </c>
      <c r="G11" s="5">
        <v>1530</v>
      </c>
      <c r="H11" s="5"/>
      <c r="I11" s="5"/>
      <c r="J11" s="5">
        <v>11600</v>
      </c>
      <c r="K11" s="5">
        <v>465</v>
      </c>
      <c r="L11" s="6"/>
      <c r="M11" s="5">
        <v>162998</v>
      </c>
      <c r="N11" s="5">
        <v>202502</v>
      </c>
      <c r="O11" s="5">
        <v>365500</v>
      </c>
      <c r="P11" s="5">
        <v>1553625</v>
      </c>
      <c r="Q11" s="5">
        <v>5459</v>
      </c>
      <c r="R11" s="3" t="s">
        <v>132</v>
      </c>
      <c r="S11" s="5">
        <v>0.2</v>
      </c>
      <c r="T11" s="4">
        <v>0</v>
      </c>
      <c r="U11" s="5"/>
      <c r="V11" s="5">
        <v>50</v>
      </c>
      <c r="W11" s="5">
        <v>15</v>
      </c>
      <c r="X11" s="5">
        <v>2030</v>
      </c>
      <c r="Y11" s="5">
        <v>33</v>
      </c>
    </row>
    <row r="12" spans="1:25">
      <c r="A12" s="3" t="s">
        <v>133</v>
      </c>
      <c r="B12" s="3" t="s">
        <v>134</v>
      </c>
      <c r="C12" s="3" t="s">
        <v>135</v>
      </c>
      <c r="D12" s="4">
        <v>2021</v>
      </c>
      <c r="E12" s="4" t="s">
        <v>127</v>
      </c>
      <c r="F12" s="5">
        <v>39708</v>
      </c>
      <c r="G12" s="5">
        <v>7976</v>
      </c>
      <c r="H12" s="5">
        <v>6625</v>
      </c>
      <c r="I12" s="5">
        <v>29093</v>
      </c>
      <c r="J12" s="5">
        <v>9053</v>
      </c>
      <c r="K12" s="5">
        <v>5910</v>
      </c>
      <c r="L12" s="6">
        <v>615</v>
      </c>
      <c r="M12" s="5"/>
      <c r="N12" s="5"/>
      <c r="O12" s="5">
        <v>8410000</v>
      </c>
      <c r="P12" s="5">
        <v>12020708</v>
      </c>
      <c r="Q12" s="5">
        <v>7133</v>
      </c>
      <c r="R12" s="3" t="s">
        <v>128</v>
      </c>
      <c r="S12" s="5">
        <v>0.98</v>
      </c>
      <c r="T12" s="4">
        <v>6</v>
      </c>
      <c r="U12" s="5">
        <v>8</v>
      </c>
      <c r="V12" s="5">
        <v>45</v>
      </c>
      <c r="W12" s="5">
        <v>25</v>
      </c>
      <c r="X12" s="5">
        <v>2030</v>
      </c>
      <c r="Y12" s="5">
        <v>15.5</v>
      </c>
    </row>
    <row r="13" spans="1:25">
      <c r="A13" s="3" t="s">
        <v>133</v>
      </c>
      <c r="B13" s="3" t="s">
        <v>134</v>
      </c>
      <c r="C13" s="3" t="s">
        <v>135</v>
      </c>
      <c r="D13" s="4">
        <v>2022</v>
      </c>
      <c r="E13" s="4" t="s">
        <v>127</v>
      </c>
      <c r="F13" s="5">
        <v>40771</v>
      </c>
      <c r="G13" s="5">
        <v>3499</v>
      </c>
      <c r="H13" s="5">
        <v>2634</v>
      </c>
      <c r="I13" s="5">
        <v>30001</v>
      </c>
      <c r="J13" s="5">
        <v>11675</v>
      </c>
      <c r="K13" s="5">
        <v>6200</v>
      </c>
      <c r="L13" s="6">
        <v>234</v>
      </c>
      <c r="M13" s="5"/>
      <c r="N13" s="5"/>
      <c r="O13" s="5">
        <v>8350000</v>
      </c>
      <c r="P13" s="5">
        <v>11418318</v>
      </c>
      <c r="Q13" s="5">
        <v>6450</v>
      </c>
      <c r="R13" s="3" t="s">
        <v>128</v>
      </c>
      <c r="S13" s="5">
        <v>0.87</v>
      </c>
      <c r="T13" s="4">
        <v>2</v>
      </c>
      <c r="U13" s="5">
        <v>6</v>
      </c>
      <c r="V13" s="5">
        <v>42</v>
      </c>
      <c r="W13" s="5">
        <v>25</v>
      </c>
      <c r="X13" s="5">
        <v>2030</v>
      </c>
      <c r="Y13" s="5">
        <v>16.7</v>
      </c>
    </row>
    <row r="14" spans="1:25">
      <c r="A14" s="3" t="s">
        <v>133</v>
      </c>
      <c r="B14" s="3" t="s">
        <v>134</v>
      </c>
      <c r="C14" s="3" t="s">
        <v>135</v>
      </c>
      <c r="D14" s="4">
        <v>2023</v>
      </c>
      <c r="E14" s="4" t="s">
        <v>127</v>
      </c>
      <c r="F14" s="5">
        <v>41637</v>
      </c>
      <c r="G14" s="5">
        <v>-2937</v>
      </c>
      <c r="H14" s="5">
        <v>-3920</v>
      </c>
      <c r="I14" s="5">
        <v>29110</v>
      </c>
      <c r="J14" s="5">
        <v>7799</v>
      </c>
      <c r="K14" s="5">
        <v>6700</v>
      </c>
      <c r="L14" s="6">
        <v>-170</v>
      </c>
      <c r="M14" s="5"/>
      <c r="N14" s="5"/>
      <c r="O14" s="5">
        <v>9520000</v>
      </c>
      <c r="P14" s="5">
        <v>10862243</v>
      </c>
      <c r="Q14" s="5">
        <v>6449</v>
      </c>
      <c r="R14" s="3" t="s">
        <v>128</v>
      </c>
      <c r="S14" s="5">
        <v>0.77</v>
      </c>
      <c r="T14" s="4">
        <v>1</v>
      </c>
      <c r="U14" s="5">
        <v>6</v>
      </c>
      <c r="V14" s="5">
        <v>30</v>
      </c>
      <c r="W14" s="5">
        <v>25</v>
      </c>
      <c r="X14" s="5">
        <v>2030</v>
      </c>
      <c r="Y14" s="5">
        <v>16.5</v>
      </c>
    </row>
    <row r="15" spans="1:25">
      <c r="A15" s="3" t="s">
        <v>133</v>
      </c>
      <c r="B15" s="3" t="s">
        <v>134</v>
      </c>
      <c r="C15" s="3" t="s">
        <v>135</v>
      </c>
      <c r="D15" s="4">
        <v>2024</v>
      </c>
      <c r="E15" s="4" t="s">
        <v>127</v>
      </c>
      <c r="F15" s="5">
        <v>38596</v>
      </c>
      <c r="G15" s="5">
        <v>-4447</v>
      </c>
      <c r="H15" s="5">
        <v>-5839</v>
      </c>
      <c r="I15" s="5">
        <v>24941</v>
      </c>
      <c r="J15" s="5">
        <v>1963</v>
      </c>
      <c r="K15" s="5">
        <v>8705</v>
      </c>
      <c r="L15" s="6">
        <v>-458</v>
      </c>
      <c r="M15" s="5"/>
      <c r="N15" s="5"/>
      <c r="O15" s="5">
        <v>8850000</v>
      </c>
      <c r="P15" s="5">
        <v>11613459</v>
      </c>
      <c r="Q15" s="5">
        <v>6108</v>
      </c>
      <c r="R15" s="3" t="s">
        <v>128</v>
      </c>
      <c r="S15" s="5">
        <v>1.1299999999999999</v>
      </c>
      <c r="T15" s="4">
        <v>1</v>
      </c>
      <c r="U15" s="5">
        <v>7</v>
      </c>
      <c r="V15" s="5">
        <v>29</v>
      </c>
      <c r="W15" s="5">
        <v>25</v>
      </c>
      <c r="X15" s="5">
        <v>2030</v>
      </c>
      <c r="Y15" s="5">
        <v>16.3</v>
      </c>
    </row>
    <row r="16" spans="1:25">
      <c r="A16" s="3" t="s">
        <v>133</v>
      </c>
      <c r="B16" s="3" t="s">
        <v>134</v>
      </c>
      <c r="C16" s="3" t="s">
        <v>135</v>
      </c>
      <c r="D16" s="4">
        <v>2025</v>
      </c>
      <c r="E16" s="4" t="s">
        <v>127</v>
      </c>
      <c r="F16" s="5">
        <v>32291</v>
      </c>
      <c r="G16" s="5">
        <v>-2043</v>
      </c>
      <c r="H16" s="5">
        <v>-3012</v>
      </c>
      <c r="I16" s="5">
        <v>21014</v>
      </c>
      <c r="J16" s="5">
        <v>-429</v>
      </c>
      <c r="K16" s="5">
        <v>9126</v>
      </c>
      <c r="L16" s="6">
        <v>-301</v>
      </c>
      <c r="M16" s="5"/>
      <c r="N16" s="5"/>
      <c r="O16" s="5">
        <v>7510000</v>
      </c>
      <c r="P16" s="5">
        <v>12622339</v>
      </c>
      <c r="Q16" s="5">
        <v>5569</v>
      </c>
      <c r="R16" s="3" t="s">
        <v>128</v>
      </c>
      <c r="S16" s="5">
        <v>0.62</v>
      </c>
      <c r="T16" s="4">
        <v>1</v>
      </c>
      <c r="U16" s="5">
        <v>4</v>
      </c>
      <c r="V16" s="5">
        <v>25</v>
      </c>
      <c r="W16" s="5">
        <v>10</v>
      </c>
      <c r="X16" s="5">
        <v>2030</v>
      </c>
      <c r="Y16" s="5">
        <v>16.3</v>
      </c>
    </row>
    <row r="17" spans="1:25">
      <c r="A17" s="3" t="s">
        <v>136</v>
      </c>
      <c r="B17" s="3" t="s">
        <v>137</v>
      </c>
      <c r="C17" s="3" t="s">
        <v>138</v>
      </c>
      <c r="D17" s="4">
        <v>2021</v>
      </c>
      <c r="E17" s="4" t="s">
        <v>127</v>
      </c>
      <c r="F17" s="5">
        <v>17790</v>
      </c>
      <c r="G17" s="5">
        <v>1205</v>
      </c>
      <c r="H17" s="5">
        <v>658</v>
      </c>
      <c r="I17" s="5">
        <v>14853</v>
      </c>
      <c r="J17" s="5">
        <v>9739</v>
      </c>
      <c r="K17" s="5">
        <v>66</v>
      </c>
      <c r="L17" s="6">
        <v>394</v>
      </c>
      <c r="M17" s="5">
        <v>178139</v>
      </c>
      <c r="N17" s="5">
        <v>83361</v>
      </c>
      <c r="O17" s="5">
        <v>261500</v>
      </c>
      <c r="P17" s="5">
        <v>1978000</v>
      </c>
      <c r="Q17" s="5">
        <v>4200</v>
      </c>
      <c r="R17" s="3" t="s">
        <v>139</v>
      </c>
      <c r="S17" s="5">
        <v>0.35</v>
      </c>
      <c r="T17" s="4">
        <v>0</v>
      </c>
      <c r="U17" s="5">
        <v>2</v>
      </c>
      <c r="V17" s="5">
        <v>18</v>
      </c>
      <c r="W17" s="5">
        <v>25</v>
      </c>
      <c r="X17" s="5">
        <v>2030</v>
      </c>
      <c r="Y17" s="5">
        <v>24.3</v>
      </c>
    </row>
    <row r="18" spans="1:25">
      <c r="A18" s="3" t="s">
        <v>136</v>
      </c>
      <c r="B18" s="3" t="s">
        <v>137</v>
      </c>
      <c r="C18" s="3" t="s">
        <v>138</v>
      </c>
      <c r="D18" s="4">
        <v>2022</v>
      </c>
      <c r="E18" s="4" t="s">
        <v>127</v>
      </c>
      <c r="F18" s="5">
        <v>21437</v>
      </c>
      <c r="G18" s="5">
        <v>1597</v>
      </c>
      <c r="H18" s="5">
        <v>1093</v>
      </c>
      <c r="I18" s="5">
        <v>16011</v>
      </c>
      <c r="J18" s="5">
        <v>10018</v>
      </c>
      <c r="K18" s="5">
        <v>52</v>
      </c>
      <c r="L18" s="6">
        <v>653</v>
      </c>
      <c r="M18" s="5">
        <v>252803</v>
      </c>
      <c r="N18" s="5">
        <v>84105</v>
      </c>
      <c r="O18" s="5">
        <v>336908</v>
      </c>
      <c r="P18" s="5">
        <v>1861000</v>
      </c>
      <c r="Q18" s="5">
        <v>4010</v>
      </c>
      <c r="R18" s="3" t="s">
        <v>139</v>
      </c>
      <c r="S18" s="5">
        <v>0.21</v>
      </c>
      <c r="T18" s="4">
        <v>2</v>
      </c>
      <c r="U18" s="5">
        <v>2</v>
      </c>
      <c r="V18" s="5">
        <v>18</v>
      </c>
      <c r="W18" s="5">
        <v>25</v>
      </c>
      <c r="X18" s="5">
        <v>2030</v>
      </c>
      <c r="Y18" s="5">
        <v>28.7</v>
      </c>
    </row>
    <row r="19" spans="1:25">
      <c r="A19" s="3" t="s">
        <v>136</v>
      </c>
      <c r="B19" s="3" t="s">
        <v>137</v>
      </c>
      <c r="C19" s="3" t="s">
        <v>138</v>
      </c>
      <c r="D19" s="4">
        <v>2023</v>
      </c>
      <c r="E19" s="4" t="s">
        <v>127</v>
      </c>
      <c r="F19" s="5">
        <v>26572</v>
      </c>
      <c r="G19" s="5">
        <v>1899</v>
      </c>
      <c r="H19" s="5">
        <v>1169</v>
      </c>
      <c r="I19" s="5">
        <v>16835</v>
      </c>
      <c r="J19" s="5">
        <v>10255</v>
      </c>
      <c r="K19" s="5">
        <v>43</v>
      </c>
      <c r="L19" s="6">
        <v>692</v>
      </c>
      <c r="M19" s="5">
        <v>110774</v>
      </c>
      <c r="N19" s="5">
        <v>76828</v>
      </c>
      <c r="O19" s="5">
        <v>187602</v>
      </c>
      <c r="P19" s="5">
        <v>1678000</v>
      </c>
      <c r="Q19" s="5">
        <v>3869</v>
      </c>
      <c r="R19" s="3" t="s">
        <v>128</v>
      </c>
      <c r="S19" s="5">
        <v>0.1</v>
      </c>
      <c r="T19" s="4">
        <v>0</v>
      </c>
      <c r="U19" s="5">
        <v>2</v>
      </c>
      <c r="V19" s="5">
        <v>30</v>
      </c>
      <c r="W19" s="5"/>
      <c r="X19" s="5">
        <v>2050</v>
      </c>
      <c r="Y19" s="5">
        <v>46</v>
      </c>
    </row>
    <row r="20" spans="1:25">
      <c r="A20" s="3" t="s">
        <v>136</v>
      </c>
      <c r="B20" s="3" t="s">
        <v>137</v>
      </c>
      <c r="C20" s="3" t="s">
        <v>138</v>
      </c>
      <c r="D20" s="4">
        <v>2024</v>
      </c>
      <c r="E20" s="4" t="s">
        <v>127</v>
      </c>
      <c r="F20" s="5">
        <v>22219</v>
      </c>
      <c r="G20" s="5">
        <v>1703</v>
      </c>
      <c r="H20" s="5">
        <v>1160</v>
      </c>
      <c r="I20" s="5">
        <v>17526</v>
      </c>
      <c r="J20" s="5">
        <v>10820</v>
      </c>
      <c r="K20" s="5">
        <v>149</v>
      </c>
      <c r="L20" s="6">
        <v>705</v>
      </c>
      <c r="M20" s="5">
        <v>81716</v>
      </c>
      <c r="N20" s="5">
        <v>75043</v>
      </c>
      <c r="O20" s="5">
        <v>156759</v>
      </c>
      <c r="P20" s="5">
        <v>1588000</v>
      </c>
      <c r="Q20" s="5">
        <v>3756</v>
      </c>
      <c r="R20" s="3" t="s">
        <v>128</v>
      </c>
      <c r="S20" s="5">
        <v>0.03</v>
      </c>
      <c r="T20" s="4">
        <v>0</v>
      </c>
      <c r="U20" s="5">
        <v>2</v>
      </c>
      <c r="V20" s="5">
        <v>30</v>
      </c>
      <c r="W20" s="5"/>
      <c r="X20" s="5">
        <v>2050</v>
      </c>
      <c r="Y20" s="5">
        <v>49.8</v>
      </c>
    </row>
    <row r="21" spans="1:25">
      <c r="A21" s="3" t="s">
        <v>136</v>
      </c>
      <c r="B21" s="3" t="s">
        <v>137</v>
      </c>
      <c r="C21" s="3" t="s">
        <v>138</v>
      </c>
      <c r="D21" s="4">
        <v>2025</v>
      </c>
      <c r="E21" s="4" t="s">
        <v>127</v>
      </c>
      <c r="F21" s="5">
        <v>22818</v>
      </c>
      <c r="G21" s="5">
        <v>1698</v>
      </c>
      <c r="H21" s="5">
        <v>1142</v>
      </c>
      <c r="I21" s="5">
        <v>17177</v>
      </c>
      <c r="J21" s="5">
        <v>10428</v>
      </c>
      <c r="K21" s="5">
        <v>159</v>
      </c>
      <c r="L21" s="6">
        <v>692</v>
      </c>
      <c r="M21" s="5">
        <v>70437</v>
      </c>
      <c r="N21" s="5">
        <v>69960</v>
      </c>
      <c r="O21" s="5">
        <v>140397</v>
      </c>
      <c r="P21" s="5">
        <v>1588000</v>
      </c>
      <c r="Q21" s="5">
        <v>3803</v>
      </c>
      <c r="R21" s="3" t="s">
        <v>128</v>
      </c>
      <c r="S21" s="5">
        <v>0.17</v>
      </c>
      <c r="T21" s="4">
        <v>0</v>
      </c>
      <c r="U21" s="5">
        <v>2</v>
      </c>
      <c r="V21" s="5">
        <v>30</v>
      </c>
      <c r="W21" s="5">
        <v>45</v>
      </c>
      <c r="X21" s="5">
        <v>2030</v>
      </c>
      <c r="Y21" s="5">
        <v>59.5</v>
      </c>
    </row>
    <row r="22" spans="1:25">
      <c r="A22" s="3" t="s">
        <v>140</v>
      </c>
      <c r="B22" s="3" t="s">
        <v>141</v>
      </c>
      <c r="C22" s="3" t="s">
        <v>142</v>
      </c>
      <c r="D22" s="4">
        <v>2021</v>
      </c>
      <c r="E22" s="4" t="s">
        <v>127</v>
      </c>
      <c r="F22" s="5">
        <v>201910</v>
      </c>
      <c r="G22" s="5">
        <v>16619</v>
      </c>
      <c r="H22" s="5">
        <v>9032</v>
      </c>
      <c r="I22" s="5">
        <v>360743</v>
      </c>
      <c r="J22" s="5">
        <v>152471</v>
      </c>
      <c r="K22" s="5">
        <v>102900</v>
      </c>
      <c r="L22" s="6">
        <v>1457</v>
      </c>
      <c r="M22" s="5"/>
      <c r="N22" s="5"/>
      <c r="O22" s="5">
        <v>67102000</v>
      </c>
      <c r="P22" s="5">
        <v>138050000</v>
      </c>
      <c r="Q22" s="5">
        <v>28725</v>
      </c>
      <c r="R22" s="3" t="s">
        <v>139</v>
      </c>
      <c r="S22" s="5">
        <v>0.26</v>
      </c>
      <c r="T22" s="4">
        <v>2</v>
      </c>
      <c r="U22" s="5">
        <v>4</v>
      </c>
      <c r="V22" s="5">
        <v>38</v>
      </c>
      <c r="W22" s="5">
        <v>30</v>
      </c>
      <c r="X22" s="5">
        <v>2030</v>
      </c>
      <c r="Y22" s="5">
        <v>526.20000000000005</v>
      </c>
    </row>
    <row r="23" spans="1:25">
      <c r="A23" s="3" t="s">
        <v>140</v>
      </c>
      <c r="B23" s="3" t="s">
        <v>141</v>
      </c>
      <c r="C23" s="3" t="s">
        <v>142</v>
      </c>
      <c r="D23" s="4">
        <v>2022</v>
      </c>
      <c r="E23" s="4" t="s">
        <v>127</v>
      </c>
      <c r="F23" s="5">
        <v>275738</v>
      </c>
      <c r="G23" s="5">
        <v>61417</v>
      </c>
      <c r="H23" s="5">
        <v>38956</v>
      </c>
      <c r="I23" s="5">
        <v>419548</v>
      </c>
      <c r="J23" s="5">
        <v>193197</v>
      </c>
      <c r="K23" s="5">
        <v>105100</v>
      </c>
      <c r="L23" s="6">
        <v>6234</v>
      </c>
      <c r="M23" s="5"/>
      <c r="N23" s="5"/>
      <c r="O23" s="5">
        <v>63572000</v>
      </c>
      <c r="P23" s="5">
        <v>132686000</v>
      </c>
      <c r="Q23" s="5">
        <v>28279</v>
      </c>
      <c r="R23" s="3" t="s">
        <v>139</v>
      </c>
      <c r="S23" s="5">
        <v>0.27</v>
      </c>
      <c r="T23" s="4">
        <v>5</v>
      </c>
      <c r="U23" s="5">
        <v>3</v>
      </c>
      <c r="V23" s="5">
        <v>46</v>
      </c>
      <c r="W23" s="5">
        <v>30</v>
      </c>
      <c r="X23" s="5">
        <v>2030</v>
      </c>
      <c r="Y23" s="5">
        <v>743.3</v>
      </c>
    </row>
    <row r="24" spans="1:25">
      <c r="A24" s="3" t="s">
        <v>140</v>
      </c>
      <c r="B24" s="3" t="s">
        <v>141</v>
      </c>
      <c r="C24" s="3" t="s">
        <v>142</v>
      </c>
      <c r="D24" s="4">
        <v>2023</v>
      </c>
      <c r="E24" s="4" t="s">
        <v>127</v>
      </c>
      <c r="F24" s="5">
        <v>289696</v>
      </c>
      <c r="G24" s="5">
        <v>21520</v>
      </c>
      <c r="H24" s="5">
        <v>8799</v>
      </c>
      <c r="I24" s="5">
        <v>433838</v>
      </c>
      <c r="J24" s="5">
        <v>201524</v>
      </c>
      <c r="K24" s="5">
        <v>124300</v>
      </c>
      <c r="L24" s="6">
        <v>1400</v>
      </c>
      <c r="M24" s="5"/>
      <c r="N24" s="5"/>
      <c r="O24" s="5">
        <v>64392000</v>
      </c>
      <c r="P24" s="5">
        <v>114122000</v>
      </c>
      <c r="Q24" s="5">
        <v>28657</v>
      </c>
      <c r="R24" s="3" t="s">
        <v>139</v>
      </c>
      <c r="S24" s="5">
        <v>0.27</v>
      </c>
      <c r="T24" s="4">
        <v>2</v>
      </c>
      <c r="U24" s="5">
        <v>3</v>
      </c>
      <c r="V24" s="5">
        <v>42</v>
      </c>
      <c r="W24" s="5">
        <v>30</v>
      </c>
      <c r="X24" s="5">
        <v>2030</v>
      </c>
      <c r="Y24" s="5">
        <v>857.3</v>
      </c>
    </row>
    <row r="25" spans="1:25">
      <c r="A25" s="3" t="s">
        <v>140</v>
      </c>
      <c r="B25" s="3" t="s">
        <v>141</v>
      </c>
      <c r="C25" s="3" t="s">
        <v>142</v>
      </c>
      <c r="D25" s="4">
        <v>2024</v>
      </c>
      <c r="E25" s="4" t="s">
        <v>127</v>
      </c>
      <c r="F25" s="5">
        <v>275111</v>
      </c>
      <c r="G25" s="5">
        <v>-27305</v>
      </c>
      <c r="H25" s="5">
        <v>-44271</v>
      </c>
      <c r="I25" s="5">
        <v>364980</v>
      </c>
      <c r="J25" s="5">
        <v>147427</v>
      </c>
      <c r="K25" s="5">
        <v>117800</v>
      </c>
      <c r="L25" s="6">
        <v>-6994</v>
      </c>
      <c r="M25" s="5"/>
      <c r="N25" s="5"/>
      <c r="O25" s="5">
        <v>64819000</v>
      </c>
      <c r="P25" s="5">
        <v>128557000</v>
      </c>
      <c r="Q25" s="5">
        <v>27678</v>
      </c>
      <c r="R25" s="3" t="s">
        <v>139</v>
      </c>
      <c r="S25" s="5">
        <v>0.25</v>
      </c>
      <c r="T25" s="4">
        <v>5</v>
      </c>
      <c r="U25" s="5">
        <v>2</v>
      </c>
      <c r="V25" s="5">
        <v>50</v>
      </c>
      <c r="W25" s="5">
        <v>30</v>
      </c>
      <c r="X25" s="5">
        <v>2030</v>
      </c>
      <c r="Y25" s="5">
        <v>693.2</v>
      </c>
    </row>
    <row r="26" spans="1:25">
      <c r="A26" s="3" t="s">
        <v>140</v>
      </c>
      <c r="B26" s="3" t="s">
        <v>141</v>
      </c>
      <c r="C26" s="3" t="s">
        <v>142</v>
      </c>
      <c r="D26" s="4">
        <v>2025</v>
      </c>
      <c r="E26" s="4" t="s">
        <v>127</v>
      </c>
      <c r="F26" s="5">
        <v>249096</v>
      </c>
      <c r="G26" s="5">
        <v>18819</v>
      </c>
      <c r="H26" s="5">
        <v>6767</v>
      </c>
      <c r="I26" s="5">
        <v>359555</v>
      </c>
      <c r="J26" s="5">
        <v>157611</v>
      </c>
      <c r="K26" s="5">
        <v>103300</v>
      </c>
      <c r="L26" s="6">
        <v>1060</v>
      </c>
      <c r="M26" s="5"/>
      <c r="N26" s="5"/>
      <c r="O26" s="5">
        <v>58728000</v>
      </c>
      <c r="P26" s="5">
        <v>127758480</v>
      </c>
      <c r="Q26" s="5">
        <v>27107</v>
      </c>
      <c r="R26" s="3" t="s">
        <v>139</v>
      </c>
      <c r="S26" s="5">
        <v>0.25</v>
      </c>
      <c r="T26" s="4">
        <v>1</v>
      </c>
      <c r="U26" s="5">
        <v>2</v>
      </c>
      <c r="V26" s="5">
        <v>45</v>
      </c>
      <c r="W26" s="5">
        <v>30</v>
      </c>
      <c r="X26" s="5">
        <v>2030</v>
      </c>
      <c r="Y26" s="5">
        <v>663.3</v>
      </c>
    </row>
    <row r="29" spans="1:25">
      <c r="A29" s="7" t="s">
        <v>143</v>
      </c>
    </row>
    <row r="30" spans="1:25" ht="27.75" customHeight="1">
      <c r="A30" s="42" t="s">
        <v>144</v>
      </c>
      <c r="B30" s="42"/>
      <c r="C30" s="42"/>
      <c r="D30" s="42"/>
      <c r="E30" s="42"/>
      <c r="F30" s="42"/>
      <c r="G30" s="42"/>
      <c r="H30" s="42"/>
      <c r="I30" s="42"/>
      <c r="J30" s="42"/>
    </row>
    <row r="31" spans="1:25" ht="27.75" customHeight="1">
      <c r="A31" s="42" t="s">
        <v>145</v>
      </c>
      <c r="B31" s="42"/>
      <c r="C31" s="42"/>
      <c r="D31" s="42"/>
      <c r="E31" s="42"/>
      <c r="F31" s="42"/>
      <c r="G31" s="42"/>
      <c r="H31" s="42"/>
      <c r="I31" s="42"/>
      <c r="J31" s="42"/>
    </row>
    <row r="32" spans="1:25" ht="27.75" customHeight="1">
      <c r="A32" s="42" t="s">
        <v>146</v>
      </c>
      <c r="B32" s="42"/>
      <c r="C32" s="42"/>
      <c r="D32" s="42"/>
      <c r="E32" s="42"/>
      <c r="F32" s="42"/>
      <c r="G32" s="42"/>
      <c r="H32" s="42"/>
      <c r="I32" s="42"/>
      <c r="J32" s="42"/>
    </row>
    <row r="33" spans="1:10" ht="27.75" customHeight="1">
      <c r="A33" s="42" t="s">
        <v>147</v>
      </c>
      <c r="B33" s="42"/>
      <c r="C33" s="42"/>
      <c r="D33" s="42"/>
      <c r="E33" s="42"/>
      <c r="F33" s="42"/>
      <c r="G33" s="42"/>
      <c r="H33" s="42"/>
      <c r="I33" s="42"/>
      <c r="J33" s="42"/>
    </row>
    <row r="34" spans="1:10" ht="27.75" customHeight="1">
      <c r="A34" s="42" t="s">
        <v>148</v>
      </c>
      <c r="B34" s="42"/>
      <c r="C34" s="42"/>
      <c r="D34" s="42"/>
      <c r="E34" s="42"/>
      <c r="F34" s="42"/>
      <c r="G34" s="42"/>
      <c r="H34" s="42"/>
      <c r="I34" s="42"/>
      <c r="J34" s="42"/>
    </row>
  </sheetData>
  <mergeCells count="5">
    <mergeCell ref="A30:J30"/>
    <mergeCell ref="A31:J31"/>
    <mergeCell ref="A32:J32"/>
    <mergeCell ref="A33:J33"/>
    <mergeCell ref="A34:J3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19"/>
  <sheetViews>
    <sheetView showGridLines="0" zoomScaleNormal="100" workbookViewId="0">
      <pane ySplit="4" topLeftCell="A5" activePane="bottomLeft" state="frozen"/>
      <selection pane="bottomLeft"/>
    </sheetView>
  </sheetViews>
  <sheetFormatPr defaultColWidth="8.7109375" defaultRowHeight="15"/>
  <cols>
    <col min="1" max="1" width="22" customWidth="1"/>
    <col min="2" max="2" width="6" customWidth="1"/>
    <col min="3" max="3" width="22" customWidth="1"/>
    <col min="4" max="4" width="16" customWidth="1"/>
    <col min="5" max="5" width="26" customWidth="1"/>
    <col min="6" max="6" width="16" customWidth="1"/>
    <col min="7" max="7" width="55" customWidth="1"/>
  </cols>
  <sheetData>
    <row r="1" spans="1:7" ht="16.149999999999999">
      <c r="A1" s="40" t="s">
        <v>149</v>
      </c>
      <c r="B1" s="40"/>
      <c r="C1" s="40"/>
      <c r="D1" s="40"/>
      <c r="E1" s="40"/>
      <c r="F1" s="40"/>
      <c r="G1" s="40"/>
    </row>
    <row r="2" spans="1:7" ht="99.75" customHeight="1">
      <c r="A2" s="39" t="s">
        <v>150</v>
      </c>
      <c r="B2" s="39"/>
      <c r="C2" s="39"/>
      <c r="D2" s="39"/>
      <c r="E2" s="39"/>
      <c r="F2" s="39"/>
      <c r="G2" s="39"/>
    </row>
    <row r="4" spans="1:7">
      <c r="A4" s="1" t="s">
        <v>99</v>
      </c>
      <c r="B4" s="1" t="s">
        <v>102</v>
      </c>
      <c r="C4" s="1" t="s">
        <v>3</v>
      </c>
      <c r="D4" s="1" t="s">
        <v>151</v>
      </c>
      <c r="E4" s="1" t="s">
        <v>152</v>
      </c>
      <c r="F4" s="1" t="s">
        <v>153</v>
      </c>
      <c r="G4" s="1" t="s">
        <v>154</v>
      </c>
    </row>
    <row r="5" spans="1:7">
      <c r="A5" s="8" t="s">
        <v>124</v>
      </c>
      <c r="B5" s="8">
        <v>2021</v>
      </c>
      <c r="C5" s="8" t="s">
        <v>21</v>
      </c>
      <c r="D5" s="8" t="s">
        <v>155</v>
      </c>
      <c r="E5" s="8" t="s">
        <v>156</v>
      </c>
      <c r="F5" s="9" t="s">
        <v>157</v>
      </c>
      <c r="G5" s="10"/>
    </row>
    <row r="6" spans="1:7">
      <c r="A6" s="8" t="s">
        <v>124</v>
      </c>
      <c r="B6" s="8">
        <v>2021</v>
      </c>
      <c r="C6" s="8" t="s">
        <v>27</v>
      </c>
      <c r="D6" s="8" t="s">
        <v>155</v>
      </c>
      <c r="E6" s="8" t="s">
        <v>156</v>
      </c>
      <c r="F6" s="9" t="s">
        <v>157</v>
      </c>
      <c r="G6" s="10"/>
    </row>
    <row r="7" spans="1:7">
      <c r="A7" s="8" t="s">
        <v>124</v>
      </c>
      <c r="B7" s="8">
        <v>2021</v>
      </c>
      <c r="C7" s="8" t="s">
        <v>30</v>
      </c>
      <c r="D7" s="8" t="s">
        <v>158</v>
      </c>
      <c r="E7" s="8" t="s">
        <v>159</v>
      </c>
      <c r="F7" s="9" t="s">
        <v>157</v>
      </c>
      <c r="G7" s="10"/>
    </row>
    <row r="8" spans="1:7">
      <c r="A8" s="8" t="s">
        <v>124</v>
      </c>
      <c r="B8" s="8">
        <v>2021</v>
      </c>
      <c r="C8" s="8" t="s">
        <v>33</v>
      </c>
      <c r="D8" s="8" t="s">
        <v>155</v>
      </c>
      <c r="E8" s="8" t="s">
        <v>156</v>
      </c>
      <c r="F8" s="9" t="s">
        <v>157</v>
      </c>
      <c r="G8" s="10"/>
    </row>
    <row r="9" spans="1:7">
      <c r="A9" s="8" t="s">
        <v>124</v>
      </c>
      <c r="B9" s="8">
        <v>2021</v>
      </c>
      <c r="C9" s="8" t="s">
        <v>37</v>
      </c>
      <c r="D9" s="8" t="s">
        <v>155</v>
      </c>
      <c r="E9" s="8" t="s">
        <v>156</v>
      </c>
      <c r="F9" s="9" t="s">
        <v>157</v>
      </c>
      <c r="G9" s="10"/>
    </row>
    <row r="10" spans="1:7">
      <c r="A10" s="8" t="s">
        <v>124</v>
      </c>
      <c r="B10" s="8">
        <v>2021</v>
      </c>
      <c r="C10" s="8" t="s">
        <v>40</v>
      </c>
      <c r="D10" s="8" t="s">
        <v>160</v>
      </c>
      <c r="E10" s="8" t="s">
        <v>161</v>
      </c>
      <c r="F10" s="9" t="s">
        <v>157</v>
      </c>
      <c r="G10" s="10"/>
    </row>
    <row r="11" spans="1:7">
      <c r="A11" s="8" t="s">
        <v>124</v>
      </c>
      <c r="B11" s="8">
        <v>2021</v>
      </c>
      <c r="C11" s="8" t="s">
        <v>44</v>
      </c>
      <c r="D11" s="8" t="s">
        <v>155</v>
      </c>
      <c r="E11" s="8" t="s">
        <v>156</v>
      </c>
      <c r="F11" s="9" t="s">
        <v>157</v>
      </c>
      <c r="G11" s="10"/>
    </row>
    <row r="12" spans="1:7">
      <c r="A12" s="8" t="s">
        <v>124</v>
      </c>
      <c r="B12" s="8">
        <v>2021</v>
      </c>
      <c r="C12" s="8" t="s">
        <v>162</v>
      </c>
      <c r="D12" s="8" t="s">
        <v>163</v>
      </c>
      <c r="E12" s="8" t="s">
        <v>164</v>
      </c>
      <c r="F12" s="9" t="s">
        <v>157</v>
      </c>
      <c r="G12" s="10"/>
    </row>
    <row r="13" spans="1:7">
      <c r="A13" s="8" t="s">
        <v>124</v>
      </c>
      <c r="B13" s="8">
        <v>2021</v>
      </c>
      <c r="C13" s="8" t="s">
        <v>165</v>
      </c>
      <c r="D13" s="8" t="s">
        <v>163</v>
      </c>
      <c r="E13" s="8" t="s">
        <v>164</v>
      </c>
      <c r="F13" s="9" t="s">
        <v>157</v>
      </c>
      <c r="G13" s="10"/>
    </row>
    <row r="14" spans="1:7">
      <c r="A14" s="8" t="s">
        <v>124</v>
      </c>
      <c r="B14" s="8">
        <v>2021</v>
      </c>
      <c r="C14" s="8" t="s">
        <v>59</v>
      </c>
      <c r="D14" s="8" t="s">
        <v>163</v>
      </c>
      <c r="E14" s="8" t="s">
        <v>166</v>
      </c>
      <c r="F14" s="9" t="s">
        <v>157</v>
      </c>
      <c r="G14" s="10"/>
    </row>
    <row r="15" spans="1:7">
      <c r="A15" s="8" t="s">
        <v>124</v>
      </c>
      <c r="B15" s="8">
        <v>2021</v>
      </c>
      <c r="C15" s="8" t="s">
        <v>63</v>
      </c>
      <c r="D15" s="8" t="s">
        <v>155</v>
      </c>
      <c r="E15" s="8" t="s">
        <v>156</v>
      </c>
      <c r="F15" s="9" t="s">
        <v>157</v>
      </c>
      <c r="G15" s="10"/>
    </row>
    <row r="16" spans="1:7">
      <c r="A16" s="8" t="s">
        <v>124</v>
      </c>
      <c r="B16" s="8">
        <v>2021</v>
      </c>
      <c r="C16" s="8" t="s">
        <v>167</v>
      </c>
      <c r="D16" s="8" t="s">
        <v>155</v>
      </c>
      <c r="E16" s="8" t="s">
        <v>156</v>
      </c>
      <c r="F16" s="9" t="s">
        <v>157</v>
      </c>
      <c r="G16" s="10"/>
    </row>
    <row r="17" spans="1:7">
      <c r="A17" s="8" t="s">
        <v>124</v>
      </c>
      <c r="B17" s="8">
        <v>2021</v>
      </c>
      <c r="C17" s="8" t="s">
        <v>78</v>
      </c>
      <c r="D17" s="8" t="s">
        <v>168</v>
      </c>
      <c r="E17" s="8" t="s">
        <v>169</v>
      </c>
      <c r="F17" s="9" t="s">
        <v>157</v>
      </c>
      <c r="G17" s="10"/>
    </row>
    <row r="18" spans="1:7">
      <c r="A18" s="8" t="s">
        <v>124</v>
      </c>
      <c r="B18" s="8">
        <v>2021</v>
      </c>
      <c r="C18" s="8" t="s">
        <v>84</v>
      </c>
      <c r="D18" s="8" t="s">
        <v>170</v>
      </c>
      <c r="E18" s="8" t="s">
        <v>171</v>
      </c>
      <c r="F18" s="9" t="s">
        <v>157</v>
      </c>
      <c r="G18" s="10"/>
    </row>
    <row r="19" spans="1:7">
      <c r="A19" s="8" t="s">
        <v>124</v>
      </c>
      <c r="B19" s="8">
        <v>2022</v>
      </c>
      <c r="C19" s="8" t="s">
        <v>21</v>
      </c>
      <c r="D19" s="8" t="s">
        <v>172</v>
      </c>
      <c r="E19" s="8" t="s">
        <v>156</v>
      </c>
      <c r="F19" s="9" t="s">
        <v>157</v>
      </c>
      <c r="G19" s="10"/>
    </row>
    <row r="20" spans="1:7">
      <c r="A20" s="8" t="s">
        <v>124</v>
      </c>
      <c r="B20" s="8">
        <v>2022</v>
      </c>
      <c r="C20" s="8" t="s">
        <v>27</v>
      </c>
      <c r="D20" s="8" t="s">
        <v>172</v>
      </c>
      <c r="E20" s="8" t="s">
        <v>156</v>
      </c>
      <c r="F20" s="9" t="s">
        <v>157</v>
      </c>
      <c r="G20" s="10"/>
    </row>
    <row r="21" spans="1:7">
      <c r="A21" s="8" t="s">
        <v>124</v>
      </c>
      <c r="B21" s="8">
        <v>2022</v>
      </c>
      <c r="C21" s="8" t="s">
        <v>30</v>
      </c>
      <c r="D21" s="8" t="s">
        <v>173</v>
      </c>
      <c r="E21" s="8" t="s">
        <v>159</v>
      </c>
      <c r="F21" s="9" t="s">
        <v>157</v>
      </c>
      <c r="G21" s="10"/>
    </row>
    <row r="22" spans="1:7">
      <c r="A22" s="8" t="s">
        <v>124</v>
      </c>
      <c r="B22" s="8">
        <v>2022</v>
      </c>
      <c r="C22" s="8" t="s">
        <v>33</v>
      </c>
      <c r="D22" s="8" t="s">
        <v>172</v>
      </c>
      <c r="E22" s="8" t="s">
        <v>156</v>
      </c>
      <c r="F22" s="9" t="s">
        <v>157</v>
      </c>
      <c r="G22" s="10"/>
    </row>
    <row r="23" spans="1:7">
      <c r="A23" s="8" t="s">
        <v>124</v>
      </c>
      <c r="B23" s="8">
        <v>2022</v>
      </c>
      <c r="C23" s="8" t="s">
        <v>37</v>
      </c>
      <c r="D23" s="8" t="s">
        <v>172</v>
      </c>
      <c r="E23" s="8" t="s">
        <v>156</v>
      </c>
      <c r="F23" s="9" t="s">
        <v>157</v>
      </c>
      <c r="G23" s="10"/>
    </row>
    <row r="24" spans="1:7">
      <c r="A24" s="8" t="s">
        <v>124</v>
      </c>
      <c r="B24" s="8">
        <v>2022</v>
      </c>
      <c r="C24" s="8" t="s">
        <v>40</v>
      </c>
      <c r="D24" s="8" t="s">
        <v>174</v>
      </c>
      <c r="E24" s="8" t="s">
        <v>161</v>
      </c>
      <c r="F24" s="9" t="s">
        <v>157</v>
      </c>
      <c r="G24" s="10"/>
    </row>
    <row r="25" spans="1:7">
      <c r="A25" s="8" t="s">
        <v>124</v>
      </c>
      <c r="B25" s="8">
        <v>2022</v>
      </c>
      <c r="C25" s="8" t="s">
        <v>44</v>
      </c>
      <c r="D25" s="8" t="s">
        <v>172</v>
      </c>
      <c r="E25" s="8" t="s">
        <v>156</v>
      </c>
      <c r="F25" s="9" t="s">
        <v>157</v>
      </c>
      <c r="G25" s="10"/>
    </row>
    <row r="26" spans="1:7">
      <c r="A26" s="8" t="s">
        <v>124</v>
      </c>
      <c r="B26" s="8">
        <v>2022</v>
      </c>
      <c r="C26" s="8" t="s">
        <v>162</v>
      </c>
      <c r="D26" s="8" t="s">
        <v>175</v>
      </c>
      <c r="E26" s="8" t="s">
        <v>164</v>
      </c>
      <c r="F26" s="9" t="s">
        <v>157</v>
      </c>
      <c r="G26" s="10"/>
    </row>
    <row r="27" spans="1:7">
      <c r="A27" s="8" t="s">
        <v>124</v>
      </c>
      <c r="B27" s="8">
        <v>2022</v>
      </c>
      <c r="C27" s="8" t="s">
        <v>165</v>
      </c>
      <c r="D27" s="8" t="s">
        <v>175</v>
      </c>
      <c r="E27" s="8" t="s">
        <v>164</v>
      </c>
      <c r="F27" s="9" t="s">
        <v>157</v>
      </c>
      <c r="G27" s="10"/>
    </row>
    <row r="28" spans="1:7">
      <c r="A28" s="8" t="s">
        <v>124</v>
      </c>
      <c r="B28" s="8">
        <v>2022</v>
      </c>
      <c r="C28" s="8" t="s">
        <v>59</v>
      </c>
      <c r="D28" s="8" t="s">
        <v>176</v>
      </c>
      <c r="E28" s="8" t="s">
        <v>166</v>
      </c>
      <c r="F28" s="9" t="s">
        <v>157</v>
      </c>
      <c r="G28" s="10"/>
    </row>
    <row r="29" spans="1:7">
      <c r="A29" s="8" t="s">
        <v>124</v>
      </c>
      <c r="B29" s="8">
        <v>2022</v>
      </c>
      <c r="C29" s="8" t="s">
        <v>63</v>
      </c>
      <c r="D29" s="8" t="s">
        <v>172</v>
      </c>
      <c r="E29" s="8" t="s">
        <v>156</v>
      </c>
      <c r="F29" s="9" t="s">
        <v>157</v>
      </c>
      <c r="G29" s="10"/>
    </row>
    <row r="30" spans="1:7">
      <c r="A30" s="8" t="s">
        <v>124</v>
      </c>
      <c r="B30" s="8">
        <v>2022</v>
      </c>
      <c r="C30" s="8" t="s">
        <v>167</v>
      </c>
      <c r="D30" s="8" t="s">
        <v>172</v>
      </c>
      <c r="E30" s="8" t="s">
        <v>156</v>
      </c>
      <c r="F30" s="9" t="s">
        <v>157</v>
      </c>
      <c r="G30" s="10"/>
    </row>
    <row r="31" spans="1:7">
      <c r="A31" s="8" t="s">
        <v>124</v>
      </c>
      <c r="B31" s="8">
        <v>2022</v>
      </c>
      <c r="C31" s="8" t="s">
        <v>78</v>
      </c>
      <c r="D31" s="8" t="s">
        <v>168</v>
      </c>
      <c r="E31" s="8" t="s">
        <v>169</v>
      </c>
      <c r="F31" s="9" t="s">
        <v>157</v>
      </c>
      <c r="G31" s="10"/>
    </row>
    <row r="32" spans="1:7">
      <c r="A32" s="8" t="s">
        <v>124</v>
      </c>
      <c r="B32" s="8">
        <v>2022</v>
      </c>
      <c r="C32" s="8" t="s">
        <v>84</v>
      </c>
      <c r="D32" s="8" t="s">
        <v>177</v>
      </c>
      <c r="E32" s="8" t="s">
        <v>171</v>
      </c>
      <c r="F32" s="9" t="s">
        <v>157</v>
      </c>
      <c r="G32" s="10"/>
    </row>
    <row r="33" spans="1:7">
      <c r="A33" s="8" t="s">
        <v>124</v>
      </c>
      <c r="B33" s="8">
        <v>2023</v>
      </c>
      <c r="C33" s="8" t="s">
        <v>21</v>
      </c>
      <c r="D33" s="8" t="s">
        <v>178</v>
      </c>
      <c r="E33" s="8" t="s">
        <v>156</v>
      </c>
      <c r="F33" s="9" t="s">
        <v>157</v>
      </c>
      <c r="G33" s="10"/>
    </row>
    <row r="34" spans="1:7">
      <c r="A34" s="8" t="s">
        <v>124</v>
      </c>
      <c r="B34" s="8">
        <v>2023</v>
      </c>
      <c r="C34" s="8" t="s">
        <v>27</v>
      </c>
      <c r="D34" s="8" t="s">
        <v>178</v>
      </c>
      <c r="E34" s="8" t="s">
        <v>156</v>
      </c>
      <c r="F34" s="9" t="s">
        <v>157</v>
      </c>
      <c r="G34" s="10"/>
    </row>
    <row r="35" spans="1:7">
      <c r="A35" s="8" t="s">
        <v>124</v>
      </c>
      <c r="B35" s="8">
        <v>2023</v>
      </c>
      <c r="C35" s="8" t="s">
        <v>30</v>
      </c>
      <c r="D35" s="8" t="s">
        <v>179</v>
      </c>
      <c r="E35" s="8" t="s">
        <v>159</v>
      </c>
      <c r="F35" s="9" t="s">
        <v>157</v>
      </c>
      <c r="G35" s="10"/>
    </row>
    <row r="36" spans="1:7">
      <c r="A36" s="8" t="s">
        <v>124</v>
      </c>
      <c r="B36" s="8">
        <v>2023</v>
      </c>
      <c r="C36" s="8" t="s">
        <v>33</v>
      </c>
      <c r="D36" s="8" t="s">
        <v>178</v>
      </c>
      <c r="E36" s="8" t="s">
        <v>156</v>
      </c>
      <c r="F36" s="9" t="s">
        <v>157</v>
      </c>
      <c r="G36" s="10"/>
    </row>
    <row r="37" spans="1:7">
      <c r="A37" s="8" t="s">
        <v>124</v>
      </c>
      <c r="B37" s="8">
        <v>2023</v>
      </c>
      <c r="C37" s="8" t="s">
        <v>37</v>
      </c>
      <c r="D37" s="8" t="s">
        <v>178</v>
      </c>
      <c r="E37" s="8" t="s">
        <v>156</v>
      </c>
      <c r="F37" s="9" t="s">
        <v>157</v>
      </c>
      <c r="G37" s="10"/>
    </row>
    <row r="38" spans="1:7">
      <c r="A38" s="8" t="s">
        <v>124</v>
      </c>
      <c r="B38" s="8">
        <v>2023</v>
      </c>
      <c r="C38" s="8" t="s">
        <v>40</v>
      </c>
      <c r="D38" s="8" t="s">
        <v>180</v>
      </c>
      <c r="E38" s="8" t="s">
        <v>161</v>
      </c>
      <c r="F38" s="9" t="s">
        <v>157</v>
      </c>
      <c r="G38" s="10"/>
    </row>
    <row r="39" spans="1:7">
      <c r="A39" s="8" t="s">
        <v>124</v>
      </c>
      <c r="B39" s="8">
        <v>2023</v>
      </c>
      <c r="C39" s="8" t="s">
        <v>44</v>
      </c>
      <c r="D39" s="8" t="s">
        <v>178</v>
      </c>
      <c r="E39" s="8" t="s">
        <v>156</v>
      </c>
      <c r="F39" s="9" t="s">
        <v>157</v>
      </c>
      <c r="G39" s="10"/>
    </row>
    <row r="40" spans="1:7">
      <c r="A40" s="8" t="s">
        <v>124</v>
      </c>
      <c r="B40" s="8">
        <v>2023</v>
      </c>
      <c r="C40" s="8" t="s">
        <v>162</v>
      </c>
      <c r="D40" s="8" t="s">
        <v>175</v>
      </c>
      <c r="E40" s="8" t="s">
        <v>164</v>
      </c>
      <c r="F40" s="9" t="s">
        <v>157</v>
      </c>
      <c r="G40" s="10"/>
    </row>
    <row r="41" spans="1:7">
      <c r="A41" s="8" t="s">
        <v>124</v>
      </c>
      <c r="B41" s="8">
        <v>2023</v>
      </c>
      <c r="C41" s="8" t="s">
        <v>165</v>
      </c>
      <c r="D41" s="8" t="s">
        <v>175</v>
      </c>
      <c r="E41" s="8" t="s">
        <v>164</v>
      </c>
      <c r="F41" s="9" t="s">
        <v>157</v>
      </c>
      <c r="G41" s="10"/>
    </row>
    <row r="42" spans="1:7">
      <c r="A42" s="8" t="s">
        <v>124</v>
      </c>
      <c r="B42" s="8">
        <v>2023</v>
      </c>
      <c r="C42" s="8" t="s">
        <v>59</v>
      </c>
      <c r="D42" s="8" t="s">
        <v>176</v>
      </c>
      <c r="E42" s="8" t="s">
        <v>166</v>
      </c>
      <c r="F42" s="9" t="s">
        <v>157</v>
      </c>
      <c r="G42" s="10"/>
    </row>
    <row r="43" spans="1:7">
      <c r="A43" s="8" t="s">
        <v>124</v>
      </c>
      <c r="B43" s="8">
        <v>2023</v>
      </c>
      <c r="C43" s="8" t="s">
        <v>63</v>
      </c>
      <c r="D43" s="8" t="s">
        <v>178</v>
      </c>
      <c r="E43" s="8" t="s">
        <v>156</v>
      </c>
      <c r="F43" s="9" t="s">
        <v>157</v>
      </c>
      <c r="G43" s="10"/>
    </row>
    <row r="44" spans="1:7">
      <c r="A44" s="8" t="s">
        <v>124</v>
      </c>
      <c r="B44" s="8">
        <v>2023</v>
      </c>
      <c r="C44" s="8" t="s">
        <v>167</v>
      </c>
      <c r="D44" s="8" t="s">
        <v>178</v>
      </c>
      <c r="E44" s="8" t="s">
        <v>156</v>
      </c>
      <c r="F44" s="9" t="s">
        <v>157</v>
      </c>
      <c r="G44" s="10"/>
    </row>
    <row r="45" spans="1:7" ht="32.85">
      <c r="A45" s="8" t="s">
        <v>124</v>
      </c>
      <c r="B45" s="8">
        <v>2023</v>
      </c>
      <c r="C45" s="8" t="s">
        <v>78</v>
      </c>
      <c r="D45" s="8" t="s">
        <v>181</v>
      </c>
      <c r="E45" s="8" t="s">
        <v>169</v>
      </c>
      <c r="F45" s="11" t="s">
        <v>182</v>
      </c>
      <c r="G45" s="10" t="s">
        <v>183</v>
      </c>
    </row>
    <row r="46" spans="1:7">
      <c r="A46" s="8" t="s">
        <v>124</v>
      </c>
      <c r="B46" s="8">
        <v>2023</v>
      </c>
      <c r="C46" s="8" t="s">
        <v>84</v>
      </c>
      <c r="D46" s="8" t="s">
        <v>184</v>
      </c>
      <c r="E46" s="8" t="s">
        <v>171</v>
      </c>
      <c r="F46" s="9" t="s">
        <v>157</v>
      </c>
      <c r="G46" s="10"/>
    </row>
    <row r="47" spans="1:7">
      <c r="A47" s="8" t="s">
        <v>124</v>
      </c>
      <c r="B47" s="8">
        <v>2024</v>
      </c>
      <c r="C47" s="8" t="s">
        <v>21</v>
      </c>
      <c r="D47" s="8" t="s">
        <v>178</v>
      </c>
      <c r="E47" s="8" t="s">
        <v>156</v>
      </c>
      <c r="F47" s="9" t="s">
        <v>157</v>
      </c>
      <c r="G47" s="10"/>
    </row>
    <row r="48" spans="1:7">
      <c r="A48" s="8" t="s">
        <v>124</v>
      </c>
      <c r="B48" s="8">
        <v>2024</v>
      </c>
      <c r="C48" s="8" t="s">
        <v>27</v>
      </c>
      <c r="D48" s="8" t="s">
        <v>178</v>
      </c>
      <c r="E48" s="8" t="s">
        <v>156</v>
      </c>
      <c r="F48" s="9" t="s">
        <v>157</v>
      </c>
      <c r="G48" s="10"/>
    </row>
    <row r="49" spans="1:7">
      <c r="A49" s="8" t="s">
        <v>124</v>
      </c>
      <c r="B49" s="8">
        <v>2024</v>
      </c>
      <c r="C49" s="8" t="s">
        <v>30</v>
      </c>
      <c r="D49" s="8" t="s">
        <v>185</v>
      </c>
      <c r="E49" s="8" t="s">
        <v>159</v>
      </c>
      <c r="F49" s="9" t="s">
        <v>157</v>
      </c>
      <c r="G49" s="10"/>
    </row>
    <row r="50" spans="1:7">
      <c r="A50" s="8" t="s">
        <v>124</v>
      </c>
      <c r="B50" s="8">
        <v>2024</v>
      </c>
      <c r="C50" s="8" t="s">
        <v>33</v>
      </c>
      <c r="D50" s="8" t="s">
        <v>178</v>
      </c>
      <c r="E50" s="8" t="s">
        <v>156</v>
      </c>
      <c r="F50" s="9" t="s">
        <v>157</v>
      </c>
      <c r="G50" s="10"/>
    </row>
    <row r="51" spans="1:7">
      <c r="A51" s="8" t="s">
        <v>124</v>
      </c>
      <c r="B51" s="8">
        <v>2024</v>
      </c>
      <c r="C51" s="8" t="s">
        <v>37</v>
      </c>
      <c r="D51" s="8" t="s">
        <v>178</v>
      </c>
      <c r="E51" s="8" t="s">
        <v>156</v>
      </c>
      <c r="F51" s="9" t="s">
        <v>157</v>
      </c>
      <c r="G51" s="10"/>
    </row>
    <row r="52" spans="1:7">
      <c r="A52" s="8" t="s">
        <v>124</v>
      </c>
      <c r="B52" s="8">
        <v>2024</v>
      </c>
      <c r="C52" s="8" t="s">
        <v>40</v>
      </c>
      <c r="D52" s="8" t="s">
        <v>186</v>
      </c>
      <c r="E52" s="8" t="s">
        <v>161</v>
      </c>
      <c r="F52" s="9" t="s">
        <v>157</v>
      </c>
      <c r="G52" s="10"/>
    </row>
    <row r="53" spans="1:7">
      <c r="A53" s="8" t="s">
        <v>124</v>
      </c>
      <c r="B53" s="8">
        <v>2024</v>
      </c>
      <c r="C53" s="8" t="s">
        <v>44</v>
      </c>
      <c r="D53" s="8" t="s">
        <v>178</v>
      </c>
      <c r="E53" s="8" t="s">
        <v>156</v>
      </c>
      <c r="F53" s="9" t="s">
        <v>157</v>
      </c>
      <c r="G53" s="10"/>
    </row>
    <row r="54" spans="1:7">
      <c r="A54" s="8" t="s">
        <v>124</v>
      </c>
      <c r="B54" s="8">
        <v>2024</v>
      </c>
      <c r="C54" s="8" t="s">
        <v>162</v>
      </c>
      <c r="D54" s="8" t="s">
        <v>187</v>
      </c>
      <c r="E54" s="8" t="s">
        <v>164</v>
      </c>
      <c r="F54" s="9" t="s">
        <v>157</v>
      </c>
      <c r="G54" s="10"/>
    </row>
    <row r="55" spans="1:7">
      <c r="A55" s="8" t="s">
        <v>124</v>
      </c>
      <c r="B55" s="8">
        <v>2024</v>
      </c>
      <c r="C55" s="8" t="s">
        <v>165</v>
      </c>
      <c r="D55" s="8" t="s">
        <v>187</v>
      </c>
      <c r="E55" s="8" t="s">
        <v>164</v>
      </c>
      <c r="F55" s="9" t="s">
        <v>157</v>
      </c>
      <c r="G55" s="10"/>
    </row>
    <row r="56" spans="1:7">
      <c r="A56" s="8" t="s">
        <v>124</v>
      </c>
      <c r="B56" s="8">
        <v>2024</v>
      </c>
      <c r="C56" s="8" t="s">
        <v>59</v>
      </c>
      <c r="D56" s="8" t="s">
        <v>175</v>
      </c>
      <c r="E56" s="8" t="s">
        <v>166</v>
      </c>
      <c r="F56" s="9" t="s">
        <v>157</v>
      </c>
      <c r="G56" s="10"/>
    </row>
    <row r="57" spans="1:7">
      <c r="A57" s="8" t="s">
        <v>124</v>
      </c>
      <c r="B57" s="8">
        <v>2024</v>
      </c>
      <c r="C57" s="8" t="s">
        <v>63</v>
      </c>
      <c r="D57" s="8" t="s">
        <v>178</v>
      </c>
      <c r="E57" s="8" t="s">
        <v>156</v>
      </c>
      <c r="F57" s="9" t="s">
        <v>157</v>
      </c>
      <c r="G57" s="10"/>
    </row>
    <row r="58" spans="1:7">
      <c r="A58" s="8" t="s">
        <v>124</v>
      </c>
      <c r="B58" s="8">
        <v>2024</v>
      </c>
      <c r="C58" s="8" t="s">
        <v>167</v>
      </c>
      <c r="D58" s="8" t="s">
        <v>178</v>
      </c>
      <c r="E58" s="8" t="s">
        <v>156</v>
      </c>
      <c r="F58" s="9" t="s">
        <v>157</v>
      </c>
      <c r="G58" s="10"/>
    </row>
    <row r="59" spans="1:7">
      <c r="A59" s="8" t="s">
        <v>124</v>
      </c>
      <c r="B59" s="8">
        <v>2024</v>
      </c>
      <c r="C59" s="8" t="s">
        <v>78</v>
      </c>
      <c r="D59" s="8" t="s">
        <v>181</v>
      </c>
      <c r="E59" s="8" t="s">
        <v>169</v>
      </c>
      <c r="F59" s="9" t="s">
        <v>157</v>
      </c>
      <c r="G59" s="10"/>
    </row>
    <row r="60" spans="1:7">
      <c r="A60" s="8" t="s">
        <v>124</v>
      </c>
      <c r="B60" s="8">
        <v>2024</v>
      </c>
      <c r="C60" s="8" t="s">
        <v>84</v>
      </c>
      <c r="D60" s="8" t="s">
        <v>177</v>
      </c>
      <c r="E60" s="8" t="s">
        <v>171</v>
      </c>
      <c r="F60" s="9" t="s">
        <v>157</v>
      </c>
      <c r="G60" s="10"/>
    </row>
    <row r="61" spans="1:7">
      <c r="A61" s="8" t="s">
        <v>124</v>
      </c>
      <c r="B61" s="8">
        <v>2025</v>
      </c>
      <c r="C61" s="8" t="s">
        <v>21</v>
      </c>
      <c r="D61" s="8" t="s">
        <v>178</v>
      </c>
      <c r="E61" s="8" t="s">
        <v>156</v>
      </c>
      <c r="F61" s="9" t="s">
        <v>157</v>
      </c>
      <c r="G61" s="10"/>
    </row>
    <row r="62" spans="1:7">
      <c r="A62" s="8" t="s">
        <v>124</v>
      </c>
      <c r="B62" s="8">
        <v>2025</v>
      </c>
      <c r="C62" s="8" t="s">
        <v>27</v>
      </c>
      <c r="D62" s="8" t="s">
        <v>178</v>
      </c>
      <c r="E62" s="8" t="s">
        <v>156</v>
      </c>
      <c r="F62" s="9" t="s">
        <v>157</v>
      </c>
      <c r="G62" s="10"/>
    </row>
    <row r="63" spans="1:7">
      <c r="A63" s="8" t="s">
        <v>124</v>
      </c>
      <c r="B63" s="8">
        <v>2025</v>
      </c>
      <c r="C63" s="8" t="s">
        <v>30</v>
      </c>
      <c r="D63" s="8" t="s">
        <v>188</v>
      </c>
      <c r="E63" s="8" t="s">
        <v>159</v>
      </c>
      <c r="F63" s="9" t="s">
        <v>157</v>
      </c>
      <c r="G63" s="10"/>
    </row>
    <row r="64" spans="1:7">
      <c r="A64" s="8" t="s">
        <v>124</v>
      </c>
      <c r="B64" s="8">
        <v>2025</v>
      </c>
      <c r="C64" s="8" t="s">
        <v>33</v>
      </c>
      <c r="D64" s="8" t="s">
        <v>178</v>
      </c>
      <c r="E64" s="8" t="s">
        <v>156</v>
      </c>
      <c r="F64" s="9" t="s">
        <v>157</v>
      </c>
      <c r="G64" s="10"/>
    </row>
    <row r="65" spans="1:7">
      <c r="A65" s="8" t="s">
        <v>124</v>
      </c>
      <c r="B65" s="8">
        <v>2025</v>
      </c>
      <c r="C65" s="8" t="s">
        <v>37</v>
      </c>
      <c r="D65" s="8" t="s">
        <v>178</v>
      </c>
      <c r="E65" s="8" t="s">
        <v>156</v>
      </c>
      <c r="F65" s="9" t="s">
        <v>157</v>
      </c>
      <c r="G65" s="10"/>
    </row>
    <row r="66" spans="1:7">
      <c r="A66" s="8" t="s">
        <v>124</v>
      </c>
      <c r="B66" s="8">
        <v>2025</v>
      </c>
      <c r="C66" s="8" t="s">
        <v>40</v>
      </c>
      <c r="D66" s="8" t="s">
        <v>189</v>
      </c>
      <c r="E66" s="8" t="s">
        <v>161</v>
      </c>
      <c r="F66" s="9" t="s">
        <v>157</v>
      </c>
      <c r="G66" s="10"/>
    </row>
    <row r="67" spans="1:7">
      <c r="A67" s="8" t="s">
        <v>124</v>
      </c>
      <c r="B67" s="8">
        <v>2025</v>
      </c>
      <c r="C67" s="8" t="s">
        <v>44</v>
      </c>
      <c r="D67" s="8" t="s">
        <v>178</v>
      </c>
      <c r="E67" s="8" t="s">
        <v>156</v>
      </c>
      <c r="F67" s="9" t="s">
        <v>157</v>
      </c>
      <c r="G67" s="10"/>
    </row>
    <row r="68" spans="1:7">
      <c r="A68" s="8" t="s">
        <v>124</v>
      </c>
      <c r="B68" s="8">
        <v>2025</v>
      </c>
      <c r="C68" s="8" t="s">
        <v>162</v>
      </c>
      <c r="D68" s="8" t="s">
        <v>190</v>
      </c>
      <c r="E68" s="8" t="s">
        <v>164</v>
      </c>
      <c r="F68" s="9" t="s">
        <v>157</v>
      </c>
      <c r="G68" s="10"/>
    </row>
    <row r="69" spans="1:7">
      <c r="A69" s="8" t="s">
        <v>124</v>
      </c>
      <c r="B69" s="8">
        <v>2025</v>
      </c>
      <c r="C69" s="8" t="s">
        <v>165</v>
      </c>
      <c r="D69" s="8" t="s">
        <v>190</v>
      </c>
      <c r="E69" s="8" t="s">
        <v>164</v>
      </c>
      <c r="F69" s="9" t="s">
        <v>157</v>
      </c>
      <c r="G69" s="10"/>
    </row>
    <row r="70" spans="1:7">
      <c r="A70" s="8" t="s">
        <v>124</v>
      </c>
      <c r="B70" s="8">
        <v>2025</v>
      </c>
      <c r="C70" s="8" t="s">
        <v>59</v>
      </c>
      <c r="D70" s="8" t="s">
        <v>187</v>
      </c>
      <c r="E70" s="8" t="s">
        <v>166</v>
      </c>
      <c r="F70" s="9" t="s">
        <v>157</v>
      </c>
      <c r="G70" s="10"/>
    </row>
    <row r="71" spans="1:7">
      <c r="A71" s="8" t="s">
        <v>124</v>
      </c>
      <c r="B71" s="8">
        <v>2025</v>
      </c>
      <c r="C71" s="8" t="s">
        <v>63</v>
      </c>
      <c r="D71" s="8" t="s">
        <v>178</v>
      </c>
      <c r="E71" s="8" t="s">
        <v>156</v>
      </c>
      <c r="F71" s="9" t="s">
        <v>157</v>
      </c>
      <c r="G71" s="10"/>
    </row>
    <row r="72" spans="1:7">
      <c r="A72" s="8" t="s">
        <v>124</v>
      </c>
      <c r="B72" s="8">
        <v>2025</v>
      </c>
      <c r="C72" s="8" t="s">
        <v>167</v>
      </c>
      <c r="D72" s="8" t="s">
        <v>178</v>
      </c>
      <c r="E72" s="8" t="s">
        <v>156</v>
      </c>
      <c r="F72" s="9" t="s">
        <v>157</v>
      </c>
      <c r="G72" s="10"/>
    </row>
    <row r="73" spans="1:7">
      <c r="A73" s="8" t="s">
        <v>124</v>
      </c>
      <c r="B73" s="8">
        <v>2025</v>
      </c>
      <c r="C73" s="8" t="s">
        <v>78</v>
      </c>
      <c r="D73" s="8" t="s">
        <v>181</v>
      </c>
      <c r="E73" s="8" t="s">
        <v>169</v>
      </c>
      <c r="F73" s="9" t="s">
        <v>157</v>
      </c>
      <c r="G73" s="10"/>
    </row>
    <row r="74" spans="1:7">
      <c r="A74" s="8" t="s">
        <v>124</v>
      </c>
      <c r="B74" s="8">
        <v>2025</v>
      </c>
      <c r="C74" s="8" t="s">
        <v>84</v>
      </c>
      <c r="D74" s="8" t="s">
        <v>184</v>
      </c>
      <c r="E74" s="8" t="s">
        <v>171</v>
      </c>
      <c r="F74" s="9" t="s">
        <v>157</v>
      </c>
      <c r="G74" s="10"/>
    </row>
    <row r="75" spans="1:7">
      <c r="A75" s="8" t="s">
        <v>124</v>
      </c>
      <c r="B75" s="8">
        <v>2021</v>
      </c>
      <c r="C75" s="8" t="s">
        <v>95</v>
      </c>
      <c r="D75" s="8" t="s">
        <v>168</v>
      </c>
      <c r="E75" s="8" t="s">
        <v>169</v>
      </c>
      <c r="F75" s="9" t="s">
        <v>157</v>
      </c>
      <c r="G75" s="10"/>
    </row>
    <row r="76" spans="1:7">
      <c r="A76" s="8" t="s">
        <v>124</v>
      </c>
      <c r="B76" s="8">
        <v>2022</v>
      </c>
      <c r="C76" s="8" t="s">
        <v>95</v>
      </c>
      <c r="D76" s="8" t="s">
        <v>168</v>
      </c>
      <c r="E76" s="8" t="s">
        <v>169</v>
      </c>
      <c r="F76" s="9" t="s">
        <v>157</v>
      </c>
      <c r="G76" s="10"/>
    </row>
    <row r="77" spans="1:7">
      <c r="A77" s="8" t="s">
        <v>124</v>
      </c>
      <c r="B77" s="8">
        <v>2023</v>
      </c>
      <c r="C77" s="8" t="s">
        <v>95</v>
      </c>
      <c r="D77" s="8" t="s">
        <v>181</v>
      </c>
      <c r="E77" s="8" t="s">
        <v>169</v>
      </c>
      <c r="F77" s="9" t="s">
        <v>157</v>
      </c>
      <c r="G77" s="10"/>
    </row>
    <row r="78" spans="1:7">
      <c r="A78" s="8" t="s">
        <v>124</v>
      </c>
      <c r="B78" s="8">
        <v>2024</v>
      </c>
      <c r="C78" s="8" t="s">
        <v>95</v>
      </c>
      <c r="D78" s="8" t="s">
        <v>181</v>
      </c>
      <c r="E78" s="8" t="s">
        <v>169</v>
      </c>
      <c r="F78" s="9" t="s">
        <v>157</v>
      </c>
      <c r="G78" s="10"/>
    </row>
    <row r="79" spans="1:7">
      <c r="A79" s="8" t="s">
        <v>124</v>
      </c>
      <c r="B79" s="8">
        <v>2025</v>
      </c>
      <c r="C79" s="8" t="s">
        <v>95</v>
      </c>
      <c r="D79" s="8" t="s">
        <v>181</v>
      </c>
      <c r="E79" s="8" t="s">
        <v>169</v>
      </c>
      <c r="F79" s="9" t="s">
        <v>157</v>
      </c>
      <c r="G79" s="10"/>
    </row>
    <row r="80" spans="1:7">
      <c r="A80" s="8" t="s">
        <v>124</v>
      </c>
      <c r="B80" s="8">
        <v>2022</v>
      </c>
      <c r="C80" s="8" t="s">
        <v>191</v>
      </c>
      <c r="D80" s="8" t="s">
        <v>192</v>
      </c>
      <c r="E80" s="8" t="s">
        <v>193</v>
      </c>
      <c r="F80" s="9" t="s">
        <v>157</v>
      </c>
      <c r="G80" s="10"/>
    </row>
    <row r="81" spans="1:7">
      <c r="A81" s="8" t="s">
        <v>124</v>
      </c>
      <c r="B81" s="8">
        <v>2023</v>
      </c>
      <c r="C81" s="8" t="s">
        <v>191</v>
      </c>
      <c r="D81" s="8" t="s">
        <v>176</v>
      </c>
      <c r="E81" s="8" t="s">
        <v>193</v>
      </c>
      <c r="F81" s="9" t="s">
        <v>157</v>
      </c>
      <c r="G81" s="10"/>
    </row>
    <row r="82" spans="1:7">
      <c r="A82" s="8" t="s">
        <v>124</v>
      </c>
      <c r="B82" s="8">
        <v>2024</v>
      </c>
      <c r="C82" s="8" t="s">
        <v>191</v>
      </c>
      <c r="D82" s="8" t="s">
        <v>176</v>
      </c>
      <c r="E82" s="8" t="s">
        <v>194</v>
      </c>
      <c r="F82" s="9" t="s">
        <v>157</v>
      </c>
      <c r="G82" s="10"/>
    </row>
    <row r="83" spans="1:7" ht="22.35">
      <c r="A83" s="8" t="s">
        <v>124</v>
      </c>
      <c r="B83" s="8">
        <v>2025</v>
      </c>
      <c r="C83" s="8" t="s">
        <v>195</v>
      </c>
      <c r="D83" s="8" t="s">
        <v>175</v>
      </c>
      <c r="E83" s="8" t="s">
        <v>194</v>
      </c>
      <c r="F83" s="9" t="s">
        <v>157</v>
      </c>
      <c r="G83" s="10" t="s">
        <v>196</v>
      </c>
    </row>
    <row r="84" spans="1:7" ht="53.65">
      <c r="A84" s="8" t="s">
        <v>124</v>
      </c>
      <c r="B84" s="8">
        <v>2021</v>
      </c>
      <c r="C84" s="8" t="s">
        <v>74</v>
      </c>
      <c r="D84" s="8" t="s">
        <v>197</v>
      </c>
      <c r="E84" s="8" t="s">
        <v>198</v>
      </c>
      <c r="F84" s="12" t="s">
        <v>199</v>
      </c>
      <c r="G84" s="10" t="s">
        <v>200</v>
      </c>
    </row>
    <row r="85" spans="1:7" ht="53.65">
      <c r="A85" s="8" t="s">
        <v>124</v>
      </c>
      <c r="B85" s="8">
        <v>2022</v>
      </c>
      <c r="C85" s="8" t="s">
        <v>74</v>
      </c>
      <c r="D85" s="8" t="s">
        <v>197</v>
      </c>
      <c r="E85" s="8" t="s">
        <v>198</v>
      </c>
      <c r="F85" s="12" t="s">
        <v>199</v>
      </c>
      <c r="G85" s="10" t="s">
        <v>201</v>
      </c>
    </row>
    <row r="86" spans="1:7" ht="53.65">
      <c r="A86" s="8" t="s">
        <v>124</v>
      </c>
      <c r="B86" s="8">
        <v>2023</v>
      </c>
      <c r="C86" s="8" t="s">
        <v>74</v>
      </c>
      <c r="D86" s="8" t="s">
        <v>197</v>
      </c>
      <c r="E86" s="8" t="s">
        <v>198</v>
      </c>
      <c r="F86" s="12" t="s">
        <v>199</v>
      </c>
      <c r="G86" s="10" t="s">
        <v>202</v>
      </c>
    </row>
    <row r="87" spans="1:7" ht="32.85">
      <c r="A87" s="8" t="s">
        <v>124</v>
      </c>
      <c r="B87" s="8">
        <v>2024</v>
      </c>
      <c r="C87" s="8" t="s">
        <v>74</v>
      </c>
      <c r="D87" s="8" t="s">
        <v>203</v>
      </c>
      <c r="E87" s="8" t="s">
        <v>203</v>
      </c>
      <c r="F87" s="13" t="s">
        <v>204</v>
      </c>
      <c r="G87" s="10" t="s">
        <v>205</v>
      </c>
    </row>
    <row r="88" spans="1:7" ht="32.85">
      <c r="A88" s="8" t="s">
        <v>124</v>
      </c>
      <c r="B88" s="8">
        <v>2025</v>
      </c>
      <c r="C88" s="8" t="s">
        <v>74</v>
      </c>
      <c r="D88" s="8" t="s">
        <v>203</v>
      </c>
      <c r="E88" s="8" t="s">
        <v>203</v>
      </c>
      <c r="F88" s="13" t="s">
        <v>204</v>
      </c>
      <c r="G88" s="10" t="s">
        <v>205</v>
      </c>
    </row>
    <row r="89" spans="1:7">
      <c r="A89" s="8" t="s">
        <v>129</v>
      </c>
      <c r="B89" s="8">
        <v>2021</v>
      </c>
      <c r="C89" s="8" t="s">
        <v>21</v>
      </c>
      <c r="D89" s="8" t="s">
        <v>206</v>
      </c>
      <c r="E89" s="8" t="s">
        <v>207</v>
      </c>
      <c r="F89" s="9" t="s">
        <v>157</v>
      </c>
      <c r="G89" s="10"/>
    </row>
    <row r="90" spans="1:7">
      <c r="A90" s="8" t="s">
        <v>129</v>
      </c>
      <c r="B90" s="8">
        <v>2021</v>
      </c>
      <c r="C90" s="8" t="s">
        <v>27</v>
      </c>
      <c r="D90" s="8" t="s">
        <v>208</v>
      </c>
      <c r="E90" s="8" t="s">
        <v>209</v>
      </c>
      <c r="F90" s="9" t="s">
        <v>157</v>
      </c>
      <c r="G90" s="10"/>
    </row>
    <row r="91" spans="1:7" ht="32.85">
      <c r="A91" s="8" t="s">
        <v>129</v>
      </c>
      <c r="B91" s="8">
        <v>2021</v>
      </c>
      <c r="C91" s="8" t="s">
        <v>30</v>
      </c>
      <c r="D91" s="8" t="s">
        <v>210</v>
      </c>
      <c r="E91" s="8" t="s">
        <v>211</v>
      </c>
      <c r="F91" s="12" t="s">
        <v>212</v>
      </c>
      <c r="G91" s="10" t="s">
        <v>213</v>
      </c>
    </row>
    <row r="92" spans="1:7">
      <c r="A92" s="8" t="s">
        <v>129</v>
      </c>
      <c r="B92" s="8">
        <v>2021</v>
      </c>
      <c r="C92" s="8" t="s">
        <v>37</v>
      </c>
      <c r="D92" s="8" t="s">
        <v>168</v>
      </c>
      <c r="E92" s="8" t="s">
        <v>214</v>
      </c>
      <c r="F92" s="9" t="s">
        <v>157</v>
      </c>
      <c r="G92" s="10"/>
    </row>
    <row r="93" spans="1:7">
      <c r="A93" s="8" t="s">
        <v>129</v>
      </c>
      <c r="B93" s="8">
        <v>2021</v>
      </c>
      <c r="C93" s="8" t="s">
        <v>40</v>
      </c>
      <c r="D93" s="8" t="s">
        <v>168</v>
      </c>
      <c r="E93" s="8" t="s">
        <v>215</v>
      </c>
      <c r="F93" s="9" t="s">
        <v>157</v>
      </c>
      <c r="G93" s="10"/>
    </row>
    <row r="94" spans="1:7">
      <c r="A94" s="8" t="s">
        <v>129</v>
      </c>
      <c r="B94" s="8">
        <v>2021</v>
      </c>
      <c r="C94" s="8" t="s">
        <v>44</v>
      </c>
      <c r="D94" s="8" t="s">
        <v>206</v>
      </c>
      <c r="E94" s="8" t="s">
        <v>216</v>
      </c>
      <c r="F94" s="9" t="s">
        <v>157</v>
      </c>
      <c r="G94" s="10"/>
    </row>
    <row r="95" spans="1:7">
      <c r="A95" s="8" t="s">
        <v>129</v>
      </c>
      <c r="B95" s="8">
        <v>2021</v>
      </c>
      <c r="C95" s="8" t="s">
        <v>162</v>
      </c>
      <c r="D95" s="8" t="s">
        <v>168</v>
      </c>
      <c r="E95" s="8" t="s">
        <v>214</v>
      </c>
      <c r="F95" s="9" t="s">
        <v>157</v>
      </c>
      <c r="G95" s="10"/>
    </row>
    <row r="96" spans="1:7">
      <c r="A96" s="8" t="s">
        <v>129</v>
      </c>
      <c r="B96" s="8">
        <v>2021</v>
      </c>
      <c r="C96" s="8" t="s">
        <v>165</v>
      </c>
      <c r="D96" s="8" t="s">
        <v>168</v>
      </c>
      <c r="E96" s="8" t="s">
        <v>214</v>
      </c>
      <c r="F96" s="9" t="s">
        <v>157</v>
      </c>
      <c r="G96" s="10"/>
    </row>
    <row r="97" spans="1:7">
      <c r="A97" s="8" t="s">
        <v>129</v>
      </c>
      <c r="B97" s="8">
        <v>2021</v>
      </c>
      <c r="C97" s="8" t="s">
        <v>59</v>
      </c>
      <c r="D97" s="8" t="s">
        <v>168</v>
      </c>
      <c r="E97" s="8" t="s">
        <v>214</v>
      </c>
      <c r="F97" s="9" t="s">
        <v>157</v>
      </c>
      <c r="G97" s="10"/>
    </row>
    <row r="98" spans="1:7">
      <c r="A98" s="8" t="s">
        <v>129</v>
      </c>
      <c r="B98" s="8">
        <v>2021</v>
      </c>
      <c r="C98" s="8" t="s">
        <v>63</v>
      </c>
      <c r="D98" s="8" t="s">
        <v>217</v>
      </c>
      <c r="E98" s="8" t="s">
        <v>218</v>
      </c>
      <c r="F98" s="9" t="s">
        <v>157</v>
      </c>
      <c r="G98" s="10"/>
    </row>
    <row r="99" spans="1:7">
      <c r="A99" s="8" t="s">
        <v>129</v>
      </c>
      <c r="B99" s="8">
        <v>2021</v>
      </c>
      <c r="C99" s="8" t="s">
        <v>167</v>
      </c>
      <c r="D99" s="8" t="s">
        <v>155</v>
      </c>
      <c r="E99" s="8" t="s">
        <v>219</v>
      </c>
      <c r="F99" s="9" t="s">
        <v>157</v>
      </c>
      <c r="G99" s="10"/>
    </row>
    <row r="100" spans="1:7">
      <c r="A100" s="8" t="s">
        <v>129</v>
      </c>
      <c r="B100" s="8">
        <v>2021</v>
      </c>
      <c r="C100" s="8" t="s">
        <v>74</v>
      </c>
      <c r="D100" s="8" t="s">
        <v>155</v>
      </c>
      <c r="E100" s="8" t="s">
        <v>219</v>
      </c>
      <c r="F100" s="9" t="s">
        <v>157</v>
      </c>
      <c r="G100" s="10" t="s">
        <v>220</v>
      </c>
    </row>
    <row r="101" spans="1:7">
      <c r="A101" s="8" t="s">
        <v>129</v>
      </c>
      <c r="B101" s="8">
        <v>2021</v>
      </c>
      <c r="C101" s="8" t="s">
        <v>78</v>
      </c>
      <c r="D101" s="8" t="s">
        <v>221</v>
      </c>
      <c r="E101" s="8" t="s">
        <v>222</v>
      </c>
      <c r="F101" s="9" t="s">
        <v>157</v>
      </c>
      <c r="G101" s="10" t="s">
        <v>223</v>
      </c>
    </row>
    <row r="102" spans="1:7">
      <c r="A102" s="8" t="s">
        <v>129</v>
      </c>
      <c r="B102" s="8">
        <v>2021</v>
      </c>
      <c r="C102" s="8" t="s">
        <v>84</v>
      </c>
      <c r="D102" s="8" t="s">
        <v>192</v>
      </c>
      <c r="E102" s="8" t="s">
        <v>224</v>
      </c>
      <c r="F102" s="9" t="s">
        <v>157</v>
      </c>
      <c r="G102" s="10"/>
    </row>
    <row r="103" spans="1:7" ht="32.85">
      <c r="A103" s="8" t="s">
        <v>129</v>
      </c>
      <c r="B103" s="8">
        <v>2021</v>
      </c>
      <c r="C103" s="8" t="s">
        <v>95</v>
      </c>
      <c r="D103" s="8" t="s">
        <v>225</v>
      </c>
      <c r="E103" s="8" t="s">
        <v>226</v>
      </c>
      <c r="F103" s="14" t="s">
        <v>227</v>
      </c>
      <c r="G103" s="10" t="s">
        <v>228</v>
      </c>
    </row>
    <row r="104" spans="1:7">
      <c r="A104" s="8" t="s">
        <v>129</v>
      </c>
      <c r="B104" s="8">
        <v>2022</v>
      </c>
      <c r="C104" s="8" t="s">
        <v>21</v>
      </c>
      <c r="D104" s="8" t="s">
        <v>229</v>
      </c>
      <c r="E104" s="8" t="s">
        <v>230</v>
      </c>
      <c r="F104" s="9" t="s">
        <v>157</v>
      </c>
      <c r="G104" s="10"/>
    </row>
    <row r="105" spans="1:7">
      <c r="A105" s="8" t="s">
        <v>129</v>
      </c>
      <c r="B105" s="8">
        <v>2022</v>
      </c>
      <c r="C105" s="8" t="s">
        <v>27</v>
      </c>
      <c r="D105" s="8" t="s">
        <v>231</v>
      </c>
      <c r="E105" s="8" t="s">
        <v>232</v>
      </c>
      <c r="F105" s="9" t="s">
        <v>157</v>
      </c>
      <c r="G105" s="10"/>
    </row>
    <row r="106" spans="1:7">
      <c r="A106" s="8" t="s">
        <v>129</v>
      </c>
      <c r="B106" s="8">
        <v>2022</v>
      </c>
      <c r="C106" s="8" t="s">
        <v>30</v>
      </c>
      <c r="D106" s="8" t="s">
        <v>231</v>
      </c>
      <c r="E106" s="8" t="s">
        <v>233</v>
      </c>
      <c r="F106" s="9" t="s">
        <v>157</v>
      </c>
      <c r="G106" s="10"/>
    </row>
    <row r="107" spans="1:7">
      <c r="A107" s="8" t="s">
        <v>129</v>
      </c>
      <c r="B107" s="8">
        <v>2022</v>
      </c>
      <c r="C107" s="8" t="s">
        <v>37</v>
      </c>
      <c r="D107" s="8" t="s">
        <v>234</v>
      </c>
      <c r="E107" s="8" t="s">
        <v>214</v>
      </c>
      <c r="F107" s="9" t="s">
        <v>157</v>
      </c>
      <c r="G107" s="10"/>
    </row>
    <row r="108" spans="1:7">
      <c r="A108" s="8" t="s">
        <v>129</v>
      </c>
      <c r="B108" s="8">
        <v>2022</v>
      </c>
      <c r="C108" s="8" t="s">
        <v>40</v>
      </c>
      <c r="D108" s="8" t="s">
        <v>234</v>
      </c>
      <c r="E108" s="8" t="s">
        <v>214</v>
      </c>
      <c r="F108" s="9" t="s">
        <v>157</v>
      </c>
      <c r="G108" s="10"/>
    </row>
    <row r="109" spans="1:7">
      <c r="A109" s="8" t="s">
        <v>129</v>
      </c>
      <c r="B109" s="8">
        <v>2022</v>
      </c>
      <c r="C109" s="8" t="s">
        <v>44</v>
      </c>
      <c r="D109" s="8" t="s">
        <v>229</v>
      </c>
      <c r="E109" s="8" t="s">
        <v>235</v>
      </c>
      <c r="F109" s="9" t="s">
        <v>157</v>
      </c>
      <c r="G109" s="10"/>
    </row>
    <row r="110" spans="1:7">
      <c r="A110" s="8" t="s">
        <v>129</v>
      </c>
      <c r="B110" s="8">
        <v>2022</v>
      </c>
      <c r="C110" s="8" t="s">
        <v>162</v>
      </c>
      <c r="D110" s="8" t="s">
        <v>236</v>
      </c>
      <c r="E110" s="8" t="s">
        <v>237</v>
      </c>
      <c r="F110" s="9" t="s">
        <v>157</v>
      </c>
      <c r="G110" s="10"/>
    </row>
    <row r="111" spans="1:7">
      <c r="A111" s="8" t="s">
        <v>129</v>
      </c>
      <c r="B111" s="8">
        <v>2022</v>
      </c>
      <c r="C111" s="8" t="s">
        <v>165</v>
      </c>
      <c r="D111" s="8" t="s">
        <v>236</v>
      </c>
      <c r="E111" s="8" t="s">
        <v>238</v>
      </c>
      <c r="F111" s="9" t="s">
        <v>157</v>
      </c>
      <c r="G111" s="10"/>
    </row>
    <row r="112" spans="1:7">
      <c r="A112" s="8" t="s">
        <v>129</v>
      </c>
      <c r="B112" s="8">
        <v>2022</v>
      </c>
      <c r="C112" s="8" t="s">
        <v>59</v>
      </c>
      <c r="D112" s="8" t="s">
        <v>234</v>
      </c>
      <c r="E112" s="8" t="s">
        <v>238</v>
      </c>
      <c r="F112" s="9" t="s">
        <v>157</v>
      </c>
      <c r="G112" s="10"/>
    </row>
    <row r="113" spans="1:7">
      <c r="A113" s="8" t="s">
        <v>129</v>
      </c>
      <c r="B113" s="8">
        <v>2022</v>
      </c>
      <c r="C113" s="8" t="s">
        <v>63</v>
      </c>
      <c r="D113" s="8" t="s">
        <v>239</v>
      </c>
      <c r="E113" s="8" t="s">
        <v>240</v>
      </c>
      <c r="F113" s="9" t="s">
        <v>157</v>
      </c>
      <c r="G113" s="10"/>
    </row>
    <row r="114" spans="1:7">
      <c r="A114" s="8" t="s">
        <v>129</v>
      </c>
      <c r="B114" s="8">
        <v>2022</v>
      </c>
      <c r="C114" s="8" t="s">
        <v>167</v>
      </c>
      <c r="D114" s="8" t="s">
        <v>241</v>
      </c>
      <c r="E114" s="8" t="s">
        <v>242</v>
      </c>
      <c r="F114" s="9" t="s">
        <v>157</v>
      </c>
      <c r="G114" s="10"/>
    </row>
    <row r="115" spans="1:7">
      <c r="A115" s="8" t="s">
        <v>129</v>
      </c>
      <c r="B115" s="8">
        <v>2022</v>
      </c>
      <c r="C115" s="8" t="s">
        <v>74</v>
      </c>
      <c r="D115" s="8" t="s">
        <v>155</v>
      </c>
      <c r="E115" s="8" t="s">
        <v>243</v>
      </c>
      <c r="F115" s="9" t="s">
        <v>157</v>
      </c>
      <c r="G115" s="10"/>
    </row>
    <row r="116" spans="1:7">
      <c r="A116" s="8" t="s">
        <v>129</v>
      </c>
      <c r="B116" s="8">
        <v>2022</v>
      </c>
      <c r="C116" s="8" t="s">
        <v>78</v>
      </c>
      <c r="D116" s="8" t="s">
        <v>241</v>
      </c>
      <c r="E116" s="8" t="s">
        <v>242</v>
      </c>
      <c r="F116" s="9" t="s">
        <v>157</v>
      </c>
      <c r="G116" s="10"/>
    </row>
    <row r="117" spans="1:7" ht="32.85">
      <c r="A117" s="8" t="s">
        <v>129</v>
      </c>
      <c r="B117" s="8">
        <v>2022</v>
      </c>
      <c r="C117" s="8" t="s">
        <v>84</v>
      </c>
      <c r="D117" s="8" t="s">
        <v>155</v>
      </c>
      <c r="E117" s="8" t="s">
        <v>244</v>
      </c>
      <c r="F117" s="14" t="s">
        <v>227</v>
      </c>
      <c r="G117" s="10" t="s">
        <v>245</v>
      </c>
    </row>
    <row r="118" spans="1:7">
      <c r="A118" s="8" t="s">
        <v>129</v>
      </c>
      <c r="B118" s="8">
        <v>2022</v>
      </c>
      <c r="C118" s="8" t="s">
        <v>95</v>
      </c>
      <c r="D118" s="8" t="s">
        <v>236</v>
      </c>
      <c r="E118" s="8" t="s">
        <v>246</v>
      </c>
      <c r="F118" s="9" t="s">
        <v>157</v>
      </c>
      <c r="G118" s="10"/>
    </row>
    <row r="119" spans="1:7">
      <c r="A119" s="8" t="s">
        <v>129</v>
      </c>
      <c r="B119" s="8">
        <v>2023</v>
      </c>
      <c r="C119" s="8" t="s">
        <v>21</v>
      </c>
      <c r="D119" s="8" t="s">
        <v>247</v>
      </c>
      <c r="E119" s="8" t="s">
        <v>248</v>
      </c>
      <c r="F119" s="9" t="s">
        <v>157</v>
      </c>
      <c r="G119" s="10"/>
    </row>
    <row r="120" spans="1:7">
      <c r="A120" s="8" t="s">
        <v>129</v>
      </c>
      <c r="B120" s="8">
        <v>2023</v>
      </c>
      <c r="C120" s="8" t="s">
        <v>27</v>
      </c>
      <c r="D120" s="8" t="s">
        <v>249</v>
      </c>
      <c r="E120" s="8" t="s">
        <v>250</v>
      </c>
      <c r="F120" s="9" t="s">
        <v>157</v>
      </c>
      <c r="G120" s="10"/>
    </row>
    <row r="121" spans="1:7">
      <c r="A121" s="8" t="s">
        <v>129</v>
      </c>
      <c r="B121" s="8">
        <v>2023</v>
      </c>
      <c r="C121" s="8" t="s">
        <v>30</v>
      </c>
      <c r="D121" s="8" t="s">
        <v>249</v>
      </c>
      <c r="E121" s="8" t="s">
        <v>251</v>
      </c>
      <c r="F121" s="9" t="s">
        <v>157</v>
      </c>
      <c r="G121" s="10"/>
    </row>
    <row r="122" spans="1:7">
      <c r="A122" s="8" t="s">
        <v>129</v>
      </c>
      <c r="B122" s="8">
        <v>2023</v>
      </c>
      <c r="C122" s="8" t="s">
        <v>37</v>
      </c>
      <c r="D122" s="8" t="s">
        <v>178</v>
      </c>
      <c r="E122" s="8" t="s">
        <v>238</v>
      </c>
      <c r="F122" s="9" t="s">
        <v>157</v>
      </c>
      <c r="G122" s="10"/>
    </row>
    <row r="123" spans="1:7">
      <c r="A123" s="8" t="s">
        <v>129</v>
      </c>
      <c r="B123" s="8">
        <v>2023</v>
      </c>
      <c r="C123" s="8" t="s">
        <v>40</v>
      </c>
      <c r="D123" s="8" t="s">
        <v>178</v>
      </c>
      <c r="E123" s="8" t="s">
        <v>238</v>
      </c>
      <c r="F123" s="9" t="s">
        <v>157</v>
      </c>
      <c r="G123" s="10"/>
    </row>
    <row r="124" spans="1:7">
      <c r="A124" s="8" t="s">
        <v>129</v>
      </c>
      <c r="B124" s="8">
        <v>2023</v>
      </c>
      <c r="C124" s="8" t="s">
        <v>44</v>
      </c>
      <c r="D124" s="8" t="s">
        <v>247</v>
      </c>
      <c r="E124" s="8" t="s">
        <v>248</v>
      </c>
      <c r="F124" s="9" t="s">
        <v>157</v>
      </c>
      <c r="G124" s="10"/>
    </row>
    <row r="125" spans="1:7">
      <c r="A125" s="8" t="s">
        <v>129</v>
      </c>
      <c r="B125" s="8">
        <v>2023</v>
      </c>
      <c r="C125" s="8" t="s">
        <v>162</v>
      </c>
      <c r="D125" s="8" t="s">
        <v>172</v>
      </c>
      <c r="E125" s="8" t="s">
        <v>252</v>
      </c>
      <c r="F125" s="9" t="s">
        <v>157</v>
      </c>
      <c r="G125" s="10"/>
    </row>
    <row r="126" spans="1:7">
      <c r="A126" s="8" t="s">
        <v>129</v>
      </c>
      <c r="B126" s="8">
        <v>2023</v>
      </c>
      <c r="C126" s="8" t="s">
        <v>165</v>
      </c>
      <c r="D126" s="8" t="s">
        <v>172</v>
      </c>
      <c r="E126" s="8" t="s">
        <v>252</v>
      </c>
      <c r="F126" s="9" t="s">
        <v>157</v>
      </c>
      <c r="G126" s="10"/>
    </row>
    <row r="127" spans="1:7">
      <c r="A127" s="8" t="s">
        <v>129</v>
      </c>
      <c r="B127" s="8">
        <v>2023</v>
      </c>
      <c r="C127" s="8" t="s">
        <v>59</v>
      </c>
      <c r="D127" s="8" t="s">
        <v>184</v>
      </c>
      <c r="E127" s="8" t="s">
        <v>253</v>
      </c>
      <c r="F127" s="9" t="s">
        <v>157</v>
      </c>
      <c r="G127" s="10"/>
    </row>
    <row r="128" spans="1:7">
      <c r="A128" s="8" t="s">
        <v>129</v>
      </c>
      <c r="B128" s="8">
        <v>2023</v>
      </c>
      <c r="C128" s="8" t="s">
        <v>63</v>
      </c>
      <c r="D128" s="8" t="s">
        <v>254</v>
      </c>
      <c r="E128" s="8" t="s">
        <v>240</v>
      </c>
      <c r="F128" s="9" t="s">
        <v>157</v>
      </c>
      <c r="G128" s="10"/>
    </row>
    <row r="129" spans="1:7" ht="22.35">
      <c r="A129" s="8" t="s">
        <v>129</v>
      </c>
      <c r="B129" s="8">
        <v>2023</v>
      </c>
      <c r="C129" s="8" t="s">
        <v>167</v>
      </c>
      <c r="D129" s="8" t="s">
        <v>241</v>
      </c>
      <c r="E129" s="8" t="s">
        <v>255</v>
      </c>
      <c r="F129" s="9" t="s">
        <v>157</v>
      </c>
      <c r="G129" s="10" t="s">
        <v>256</v>
      </c>
    </row>
    <row r="130" spans="1:7">
      <c r="A130" s="8" t="s">
        <v>129</v>
      </c>
      <c r="B130" s="8">
        <v>2023</v>
      </c>
      <c r="C130" s="8" t="s">
        <v>74</v>
      </c>
      <c r="D130" s="8" t="s">
        <v>241</v>
      </c>
      <c r="E130" s="8" t="s">
        <v>255</v>
      </c>
      <c r="F130" s="9" t="s">
        <v>157</v>
      </c>
      <c r="G130" s="10"/>
    </row>
    <row r="131" spans="1:7">
      <c r="A131" s="8" t="s">
        <v>129</v>
      </c>
      <c r="B131" s="8">
        <v>2023</v>
      </c>
      <c r="C131" s="8" t="s">
        <v>78</v>
      </c>
      <c r="D131" s="8" t="s">
        <v>241</v>
      </c>
      <c r="E131" s="8" t="s">
        <v>257</v>
      </c>
      <c r="F131" s="9" t="s">
        <v>157</v>
      </c>
      <c r="G131" s="10"/>
    </row>
    <row r="132" spans="1:7">
      <c r="A132" s="8" t="s">
        <v>129</v>
      </c>
      <c r="B132" s="8">
        <v>2023</v>
      </c>
      <c r="C132" s="8" t="s">
        <v>84</v>
      </c>
      <c r="D132" s="8" t="s">
        <v>258</v>
      </c>
      <c r="E132" s="8" t="s">
        <v>259</v>
      </c>
      <c r="F132" s="9" t="s">
        <v>157</v>
      </c>
      <c r="G132" s="10"/>
    </row>
    <row r="133" spans="1:7">
      <c r="A133" s="8" t="s">
        <v>129</v>
      </c>
      <c r="B133" s="8">
        <v>2023</v>
      </c>
      <c r="C133" s="8" t="s">
        <v>95</v>
      </c>
      <c r="D133" s="8" t="s">
        <v>178</v>
      </c>
      <c r="E133" s="8" t="s">
        <v>260</v>
      </c>
      <c r="F133" s="9" t="s">
        <v>157</v>
      </c>
      <c r="G133" s="10"/>
    </row>
    <row r="134" spans="1:7">
      <c r="A134" s="8" t="s">
        <v>129</v>
      </c>
      <c r="B134" s="8">
        <v>2024</v>
      </c>
      <c r="C134" s="8" t="s">
        <v>21</v>
      </c>
      <c r="D134" s="8" t="s">
        <v>261</v>
      </c>
      <c r="E134" s="8" t="s">
        <v>262</v>
      </c>
      <c r="F134" s="9" t="s">
        <v>157</v>
      </c>
      <c r="G134" s="10"/>
    </row>
    <row r="135" spans="1:7" ht="32.85">
      <c r="A135" s="8" t="s">
        <v>129</v>
      </c>
      <c r="B135" s="8">
        <v>2024</v>
      </c>
      <c r="C135" s="8" t="s">
        <v>27</v>
      </c>
      <c r="D135" s="8" t="s">
        <v>261</v>
      </c>
      <c r="E135" s="8" t="s">
        <v>263</v>
      </c>
      <c r="F135" s="13" t="s">
        <v>204</v>
      </c>
      <c r="G135" s="10" t="s">
        <v>264</v>
      </c>
    </row>
    <row r="136" spans="1:7" ht="22.35">
      <c r="A136" s="8" t="s">
        <v>129</v>
      </c>
      <c r="B136" s="8">
        <v>2024</v>
      </c>
      <c r="C136" s="8" t="s">
        <v>30</v>
      </c>
      <c r="D136" s="8" t="s">
        <v>261</v>
      </c>
      <c r="E136" s="8" t="s">
        <v>263</v>
      </c>
      <c r="F136" s="15" t="s">
        <v>265</v>
      </c>
      <c r="G136" s="10" t="s">
        <v>266</v>
      </c>
    </row>
    <row r="137" spans="1:7">
      <c r="A137" s="8" t="s">
        <v>129</v>
      </c>
      <c r="B137" s="8">
        <v>2024</v>
      </c>
      <c r="C137" s="8" t="s">
        <v>37</v>
      </c>
      <c r="D137" s="8" t="s">
        <v>267</v>
      </c>
      <c r="E137" s="8" t="s">
        <v>238</v>
      </c>
      <c r="F137" s="9" t="s">
        <v>157</v>
      </c>
      <c r="G137" s="10"/>
    </row>
    <row r="138" spans="1:7">
      <c r="A138" s="8" t="s">
        <v>129</v>
      </c>
      <c r="B138" s="8">
        <v>2024</v>
      </c>
      <c r="C138" s="8" t="s">
        <v>40</v>
      </c>
      <c r="D138" s="8" t="s">
        <v>268</v>
      </c>
      <c r="E138" s="8" t="s">
        <v>269</v>
      </c>
      <c r="F138" s="9" t="s">
        <v>157</v>
      </c>
      <c r="G138" s="10"/>
    </row>
    <row r="139" spans="1:7">
      <c r="A139" s="8" t="s">
        <v>129</v>
      </c>
      <c r="B139" s="8">
        <v>2024</v>
      </c>
      <c r="C139" s="8" t="s">
        <v>44</v>
      </c>
      <c r="D139" s="8" t="s">
        <v>261</v>
      </c>
      <c r="E139" s="8" t="s">
        <v>263</v>
      </c>
      <c r="F139" s="9" t="s">
        <v>157</v>
      </c>
      <c r="G139" s="10"/>
    </row>
    <row r="140" spans="1:7" ht="22.35">
      <c r="A140" s="8" t="s">
        <v>129</v>
      </c>
      <c r="B140" s="8">
        <v>2024</v>
      </c>
      <c r="C140" s="8" t="s">
        <v>55</v>
      </c>
      <c r="D140" s="8" t="s">
        <v>258</v>
      </c>
      <c r="E140" s="8" t="s">
        <v>270</v>
      </c>
      <c r="F140" s="9" t="s">
        <v>157</v>
      </c>
      <c r="G140" s="10" t="s">
        <v>271</v>
      </c>
    </row>
    <row r="141" spans="1:7">
      <c r="A141" s="8" t="s">
        <v>129</v>
      </c>
      <c r="B141" s="8">
        <v>2024</v>
      </c>
      <c r="C141" s="8" t="s">
        <v>59</v>
      </c>
      <c r="D141" s="8" t="s">
        <v>272</v>
      </c>
      <c r="E141" s="8" t="s">
        <v>273</v>
      </c>
      <c r="F141" s="9" t="s">
        <v>157</v>
      </c>
      <c r="G141" s="10"/>
    </row>
    <row r="142" spans="1:7">
      <c r="A142" s="8" t="s">
        <v>129</v>
      </c>
      <c r="B142" s="8">
        <v>2024</v>
      </c>
      <c r="C142" s="8" t="s">
        <v>63</v>
      </c>
      <c r="D142" s="8" t="s">
        <v>267</v>
      </c>
      <c r="E142" s="8" t="s">
        <v>238</v>
      </c>
      <c r="F142" s="9" t="s">
        <v>157</v>
      </c>
      <c r="G142" s="10"/>
    </row>
    <row r="143" spans="1:7">
      <c r="A143" s="8" t="s">
        <v>129</v>
      </c>
      <c r="B143" s="8">
        <v>2024</v>
      </c>
      <c r="C143" s="8" t="s">
        <v>167</v>
      </c>
      <c r="D143" s="8" t="s">
        <v>274</v>
      </c>
      <c r="E143" s="8" t="s">
        <v>275</v>
      </c>
      <c r="F143" s="9" t="s">
        <v>157</v>
      </c>
      <c r="G143" s="10"/>
    </row>
    <row r="144" spans="1:7">
      <c r="A144" s="8" t="s">
        <v>129</v>
      </c>
      <c r="B144" s="8">
        <v>2024</v>
      </c>
      <c r="C144" s="8" t="s">
        <v>74</v>
      </c>
      <c r="D144" s="8" t="s">
        <v>276</v>
      </c>
      <c r="E144" s="8" t="s">
        <v>277</v>
      </c>
      <c r="F144" s="9" t="s">
        <v>157</v>
      </c>
      <c r="G144" s="10"/>
    </row>
    <row r="145" spans="1:7">
      <c r="A145" s="8" t="s">
        <v>129</v>
      </c>
      <c r="B145" s="8">
        <v>2024</v>
      </c>
      <c r="C145" s="8" t="s">
        <v>78</v>
      </c>
      <c r="D145" s="8" t="s">
        <v>234</v>
      </c>
      <c r="E145" s="8" t="s">
        <v>278</v>
      </c>
      <c r="F145" s="9" t="s">
        <v>157</v>
      </c>
      <c r="G145" s="10"/>
    </row>
    <row r="146" spans="1:7" ht="43.35">
      <c r="A146" s="8" t="s">
        <v>129</v>
      </c>
      <c r="B146" s="8">
        <v>2024</v>
      </c>
      <c r="C146" s="8" t="s">
        <v>84</v>
      </c>
      <c r="D146" s="8" t="s">
        <v>279</v>
      </c>
      <c r="E146" s="8" t="s">
        <v>280</v>
      </c>
      <c r="F146" s="14" t="s">
        <v>227</v>
      </c>
      <c r="G146" s="10" t="s">
        <v>281</v>
      </c>
    </row>
    <row r="147" spans="1:7">
      <c r="A147" s="8" t="s">
        <v>129</v>
      </c>
      <c r="B147" s="8">
        <v>2024</v>
      </c>
      <c r="C147" s="8" t="s">
        <v>191</v>
      </c>
      <c r="D147" s="8" t="s">
        <v>258</v>
      </c>
      <c r="E147" s="8" t="s">
        <v>282</v>
      </c>
      <c r="F147" s="9" t="s">
        <v>157</v>
      </c>
      <c r="G147" s="10" t="s">
        <v>283</v>
      </c>
    </row>
    <row r="148" spans="1:7">
      <c r="A148" s="8" t="s">
        <v>129</v>
      </c>
      <c r="B148" s="8">
        <v>2024</v>
      </c>
      <c r="C148" s="8" t="s">
        <v>95</v>
      </c>
      <c r="D148" s="8" t="s">
        <v>267</v>
      </c>
      <c r="E148" s="8" t="s">
        <v>238</v>
      </c>
      <c r="F148" s="9" t="s">
        <v>157</v>
      </c>
      <c r="G148" s="10"/>
    </row>
    <row r="149" spans="1:7" ht="22.35">
      <c r="A149" s="8" t="s">
        <v>129</v>
      </c>
      <c r="B149" s="8">
        <v>2025</v>
      </c>
      <c r="C149" s="8" t="s">
        <v>21</v>
      </c>
      <c r="D149" s="8" t="s">
        <v>284</v>
      </c>
      <c r="E149" s="8" t="s">
        <v>285</v>
      </c>
      <c r="F149" s="14" t="s">
        <v>227</v>
      </c>
      <c r="G149" s="10" t="s">
        <v>286</v>
      </c>
    </row>
    <row r="150" spans="1:7" ht="22.35">
      <c r="A150" s="8" t="s">
        <v>129</v>
      </c>
      <c r="B150" s="8">
        <v>2025</v>
      </c>
      <c r="C150" s="8" t="s">
        <v>27</v>
      </c>
      <c r="D150" s="8" t="s">
        <v>178</v>
      </c>
      <c r="E150" s="8" t="s">
        <v>287</v>
      </c>
      <c r="F150" s="14" t="s">
        <v>227</v>
      </c>
      <c r="G150" s="10" t="s">
        <v>288</v>
      </c>
    </row>
    <row r="151" spans="1:7" ht="22.35">
      <c r="A151" s="8" t="s">
        <v>129</v>
      </c>
      <c r="B151" s="8">
        <v>2025</v>
      </c>
      <c r="C151" s="8" t="s">
        <v>30</v>
      </c>
      <c r="D151" s="8" t="s">
        <v>289</v>
      </c>
      <c r="E151" s="8" t="s">
        <v>290</v>
      </c>
      <c r="F151" s="13" t="s">
        <v>204</v>
      </c>
      <c r="G151" s="10" t="s">
        <v>291</v>
      </c>
    </row>
    <row r="152" spans="1:7">
      <c r="A152" s="8" t="s">
        <v>129</v>
      </c>
      <c r="B152" s="8">
        <v>2025</v>
      </c>
      <c r="C152" s="8" t="s">
        <v>37</v>
      </c>
      <c r="D152" s="8" t="s">
        <v>231</v>
      </c>
      <c r="E152" s="8" t="s">
        <v>292</v>
      </c>
      <c r="F152" s="9" t="s">
        <v>157</v>
      </c>
      <c r="G152" s="10"/>
    </row>
    <row r="153" spans="1:7">
      <c r="A153" s="8" t="s">
        <v>129</v>
      </c>
      <c r="B153" s="8">
        <v>2025</v>
      </c>
      <c r="C153" s="8" t="s">
        <v>40</v>
      </c>
      <c r="D153" s="8" t="s">
        <v>293</v>
      </c>
      <c r="E153" s="8" t="s">
        <v>294</v>
      </c>
      <c r="F153" s="9" t="s">
        <v>157</v>
      </c>
      <c r="G153" s="10"/>
    </row>
    <row r="154" spans="1:7">
      <c r="A154" s="8" t="s">
        <v>129</v>
      </c>
      <c r="B154" s="8">
        <v>2025</v>
      </c>
      <c r="C154" s="8" t="s">
        <v>162</v>
      </c>
      <c r="D154" s="8" t="s">
        <v>295</v>
      </c>
      <c r="E154" s="8" t="s">
        <v>296</v>
      </c>
      <c r="F154" s="9" t="s">
        <v>157</v>
      </c>
      <c r="G154" s="10"/>
    </row>
    <row r="155" spans="1:7">
      <c r="A155" s="8" t="s">
        <v>129</v>
      </c>
      <c r="B155" s="8">
        <v>2025</v>
      </c>
      <c r="C155" s="8" t="s">
        <v>165</v>
      </c>
      <c r="D155" s="8" t="s">
        <v>295</v>
      </c>
      <c r="E155" s="8" t="s">
        <v>296</v>
      </c>
      <c r="F155" s="9" t="s">
        <v>157</v>
      </c>
      <c r="G155" s="10"/>
    </row>
    <row r="156" spans="1:7">
      <c r="A156" s="8" t="s">
        <v>129</v>
      </c>
      <c r="B156" s="8">
        <v>2025</v>
      </c>
      <c r="C156" s="8" t="s">
        <v>59</v>
      </c>
      <c r="D156" s="8" t="s">
        <v>241</v>
      </c>
      <c r="E156" s="8" t="s">
        <v>297</v>
      </c>
      <c r="F156" s="9" t="s">
        <v>157</v>
      </c>
      <c r="G156" s="10"/>
    </row>
    <row r="157" spans="1:7">
      <c r="A157" s="8" t="s">
        <v>129</v>
      </c>
      <c r="B157" s="8">
        <v>2025</v>
      </c>
      <c r="C157" s="8" t="s">
        <v>63</v>
      </c>
      <c r="D157" s="8" t="s">
        <v>298</v>
      </c>
      <c r="E157" s="8" t="s">
        <v>299</v>
      </c>
      <c r="F157" s="9" t="s">
        <v>157</v>
      </c>
      <c r="G157" s="10"/>
    </row>
    <row r="158" spans="1:7">
      <c r="A158" s="8" t="s">
        <v>129</v>
      </c>
      <c r="B158" s="8">
        <v>2025</v>
      </c>
      <c r="C158" s="8" t="s">
        <v>167</v>
      </c>
      <c r="D158" s="8" t="s">
        <v>300</v>
      </c>
      <c r="E158" s="8" t="s">
        <v>301</v>
      </c>
      <c r="F158" s="9" t="s">
        <v>157</v>
      </c>
      <c r="G158" s="10"/>
    </row>
    <row r="159" spans="1:7">
      <c r="A159" s="8" t="s">
        <v>129</v>
      </c>
      <c r="B159" s="8">
        <v>2025</v>
      </c>
      <c r="C159" s="8" t="s">
        <v>74</v>
      </c>
      <c r="D159" s="8" t="s">
        <v>302</v>
      </c>
      <c r="E159" s="8" t="s">
        <v>301</v>
      </c>
      <c r="F159" s="9" t="s">
        <v>157</v>
      </c>
      <c r="G159" s="10" t="s">
        <v>303</v>
      </c>
    </row>
    <row r="160" spans="1:7" ht="22.35">
      <c r="A160" s="8" t="s">
        <v>129</v>
      </c>
      <c r="B160" s="8">
        <v>2025</v>
      </c>
      <c r="C160" s="8" t="s">
        <v>78</v>
      </c>
      <c r="D160" s="8" t="s">
        <v>203</v>
      </c>
      <c r="E160" s="8" t="s">
        <v>203</v>
      </c>
      <c r="F160" s="13" t="s">
        <v>204</v>
      </c>
      <c r="G160" s="10" t="s">
        <v>304</v>
      </c>
    </row>
    <row r="161" spans="1:7">
      <c r="A161" s="8" t="s">
        <v>129</v>
      </c>
      <c r="B161" s="8">
        <v>2025</v>
      </c>
      <c r="C161" s="8" t="s">
        <v>84</v>
      </c>
      <c r="D161" s="8" t="s">
        <v>305</v>
      </c>
      <c r="E161" s="8" t="s">
        <v>306</v>
      </c>
      <c r="F161" s="9" t="s">
        <v>157</v>
      </c>
      <c r="G161" s="10"/>
    </row>
    <row r="162" spans="1:7" ht="43.35">
      <c r="A162" s="8" t="s">
        <v>129</v>
      </c>
      <c r="B162" s="8">
        <v>2025</v>
      </c>
      <c r="C162" s="8" t="s">
        <v>191</v>
      </c>
      <c r="D162" s="8" t="s">
        <v>241</v>
      </c>
      <c r="E162" s="8" t="s">
        <v>307</v>
      </c>
      <c r="F162" s="14" t="s">
        <v>227</v>
      </c>
      <c r="G162" s="10" t="s">
        <v>308</v>
      </c>
    </row>
    <row r="163" spans="1:7">
      <c r="A163" s="8" t="s">
        <v>129</v>
      </c>
      <c r="B163" s="8">
        <v>2025</v>
      </c>
      <c r="C163" s="8" t="s">
        <v>95</v>
      </c>
      <c r="D163" s="8" t="s">
        <v>309</v>
      </c>
      <c r="E163" s="8" t="s">
        <v>310</v>
      </c>
      <c r="F163" s="9" t="s">
        <v>157</v>
      </c>
      <c r="G163" s="10"/>
    </row>
    <row r="164" spans="1:7" ht="32.85">
      <c r="A164" s="8" t="s">
        <v>129</v>
      </c>
      <c r="B164" s="8">
        <v>2021</v>
      </c>
      <c r="C164" s="8" t="s">
        <v>33</v>
      </c>
      <c r="D164" s="8" t="s">
        <v>203</v>
      </c>
      <c r="E164" s="8" t="s">
        <v>203</v>
      </c>
      <c r="F164" s="13" t="s">
        <v>204</v>
      </c>
      <c r="G164" s="10" t="s">
        <v>311</v>
      </c>
    </row>
    <row r="165" spans="1:7" ht="32.85">
      <c r="A165" s="8" t="s">
        <v>129</v>
      </c>
      <c r="B165" s="8">
        <v>2022</v>
      </c>
      <c r="C165" s="8" t="s">
        <v>33</v>
      </c>
      <c r="D165" s="8" t="s">
        <v>203</v>
      </c>
      <c r="E165" s="8" t="s">
        <v>203</v>
      </c>
      <c r="F165" s="13" t="s">
        <v>204</v>
      </c>
      <c r="G165" s="10" t="s">
        <v>311</v>
      </c>
    </row>
    <row r="166" spans="1:7" ht="32.85">
      <c r="A166" s="8" t="s">
        <v>129</v>
      </c>
      <c r="B166" s="8">
        <v>2023</v>
      </c>
      <c r="C166" s="8" t="s">
        <v>33</v>
      </c>
      <c r="D166" s="8" t="s">
        <v>203</v>
      </c>
      <c r="E166" s="8" t="s">
        <v>203</v>
      </c>
      <c r="F166" s="13" t="s">
        <v>204</v>
      </c>
      <c r="G166" s="10" t="s">
        <v>311</v>
      </c>
    </row>
    <row r="167" spans="1:7" ht="32.85">
      <c r="A167" s="8" t="s">
        <v>129</v>
      </c>
      <c r="B167" s="8">
        <v>2024</v>
      </c>
      <c r="C167" s="8" t="s">
        <v>33</v>
      </c>
      <c r="D167" s="8" t="s">
        <v>203</v>
      </c>
      <c r="E167" s="8" t="s">
        <v>203</v>
      </c>
      <c r="F167" s="13" t="s">
        <v>204</v>
      </c>
      <c r="G167" s="10" t="s">
        <v>311</v>
      </c>
    </row>
    <row r="168" spans="1:7" ht="32.85">
      <c r="A168" s="8" t="s">
        <v>129</v>
      </c>
      <c r="B168" s="8">
        <v>2025</v>
      </c>
      <c r="C168" s="8" t="s">
        <v>33</v>
      </c>
      <c r="D168" s="8" t="s">
        <v>203</v>
      </c>
      <c r="E168" s="8" t="s">
        <v>203</v>
      </c>
      <c r="F168" s="13" t="s">
        <v>204</v>
      </c>
      <c r="G168" s="10" t="s">
        <v>311</v>
      </c>
    </row>
    <row r="169" spans="1:7">
      <c r="A169" s="8" t="s">
        <v>133</v>
      </c>
      <c r="B169" s="8">
        <v>2021</v>
      </c>
      <c r="C169" s="8" t="s">
        <v>21</v>
      </c>
      <c r="D169" s="8" t="s">
        <v>312</v>
      </c>
      <c r="E169" s="8" t="s">
        <v>313</v>
      </c>
      <c r="F169" s="9" t="s">
        <v>157</v>
      </c>
      <c r="G169" s="10"/>
    </row>
    <row r="170" spans="1:7">
      <c r="A170" s="8" t="s">
        <v>133</v>
      </c>
      <c r="B170" s="8">
        <v>2021</v>
      </c>
      <c r="C170" s="8" t="s">
        <v>27</v>
      </c>
      <c r="D170" s="8" t="s">
        <v>314</v>
      </c>
      <c r="E170" s="8" t="s">
        <v>315</v>
      </c>
      <c r="F170" s="9" t="s">
        <v>157</v>
      </c>
      <c r="G170" s="10"/>
    </row>
    <row r="171" spans="1:7">
      <c r="A171" s="8" t="s">
        <v>133</v>
      </c>
      <c r="B171" s="8">
        <v>2021</v>
      </c>
      <c r="C171" s="8" t="s">
        <v>30</v>
      </c>
      <c r="D171" s="8" t="s">
        <v>316</v>
      </c>
      <c r="E171" s="8" t="s">
        <v>317</v>
      </c>
      <c r="F171" s="9" t="s">
        <v>157</v>
      </c>
      <c r="G171" s="10"/>
    </row>
    <row r="172" spans="1:7">
      <c r="A172" s="8" t="s">
        <v>133</v>
      </c>
      <c r="B172" s="8">
        <v>2021</v>
      </c>
      <c r="C172" s="8" t="s">
        <v>33</v>
      </c>
      <c r="D172" s="8" t="s">
        <v>155</v>
      </c>
      <c r="E172" s="8" t="s">
        <v>318</v>
      </c>
      <c r="F172" s="9" t="s">
        <v>157</v>
      </c>
      <c r="G172" s="10"/>
    </row>
    <row r="173" spans="1:7">
      <c r="A173" s="8" t="s">
        <v>133</v>
      </c>
      <c r="B173" s="8">
        <v>2021</v>
      </c>
      <c r="C173" s="8" t="s">
        <v>37</v>
      </c>
      <c r="D173" s="8" t="s">
        <v>319</v>
      </c>
      <c r="E173" s="8" t="s">
        <v>315</v>
      </c>
      <c r="F173" s="9" t="s">
        <v>157</v>
      </c>
      <c r="G173" s="10"/>
    </row>
    <row r="174" spans="1:7">
      <c r="A174" s="8" t="s">
        <v>133</v>
      </c>
      <c r="B174" s="8">
        <v>2021</v>
      </c>
      <c r="C174" s="8" t="s">
        <v>40</v>
      </c>
      <c r="D174" s="8" t="s">
        <v>319</v>
      </c>
      <c r="E174" s="8" t="s">
        <v>320</v>
      </c>
      <c r="F174" s="9" t="s">
        <v>157</v>
      </c>
      <c r="G174" s="10"/>
    </row>
    <row r="175" spans="1:7" ht="22.35">
      <c r="A175" s="8" t="s">
        <v>133</v>
      </c>
      <c r="B175" s="8">
        <v>2021</v>
      </c>
      <c r="C175" s="8" t="s">
        <v>55</v>
      </c>
      <c r="D175" s="8" t="s">
        <v>321</v>
      </c>
      <c r="E175" s="8" t="s">
        <v>322</v>
      </c>
      <c r="F175" s="12" t="s">
        <v>323</v>
      </c>
      <c r="G175" s="10" t="s">
        <v>324</v>
      </c>
    </row>
    <row r="176" spans="1:7" ht="22.35">
      <c r="A176" s="8" t="s">
        <v>133</v>
      </c>
      <c r="B176" s="8">
        <v>2021</v>
      </c>
      <c r="C176" s="8" t="s">
        <v>59</v>
      </c>
      <c r="D176" s="8" t="s">
        <v>325</v>
      </c>
      <c r="E176" s="8" t="s">
        <v>326</v>
      </c>
      <c r="F176" s="12" t="s">
        <v>323</v>
      </c>
      <c r="G176" s="10" t="s">
        <v>327</v>
      </c>
    </row>
    <row r="177" spans="1:7">
      <c r="A177" s="8" t="s">
        <v>133</v>
      </c>
      <c r="B177" s="8">
        <v>2021</v>
      </c>
      <c r="C177" s="8" t="s">
        <v>63</v>
      </c>
      <c r="D177" s="8" t="s">
        <v>267</v>
      </c>
      <c r="E177" s="8" t="s">
        <v>328</v>
      </c>
      <c r="F177" s="9" t="s">
        <v>157</v>
      </c>
      <c r="G177" s="10"/>
    </row>
    <row r="178" spans="1:7">
      <c r="A178" s="8" t="s">
        <v>133</v>
      </c>
      <c r="B178" s="8">
        <v>2021</v>
      </c>
      <c r="C178" s="8" t="s">
        <v>167</v>
      </c>
      <c r="D178" s="8" t="s">
        <v>267</v>
      </c>
      <c r="E178" s="8" t="s">
        <v>328</v>
      </c>
      <c r="F178" s="9" t="s">
        <v>157</v>
      </c>
      <c r="G178" s="10"/>
    </row>
    <row r="179" spans="1:7">
      <c r="A179" s="8" t="s">
        <v>133</v>
      </c>
      <c r="B179" s="8">
        <v>2021</v>
      </c>
      <c r="C179" s="8" t="s">
        <v>74</v>
      </c>
      <c r="D179" s="8" t="s">
        <v>267</v>
      </c>
      <c r="E179" s="8" t="s">
        <v>328</v>
      </c>
      <c r="F179" s="9" t="s">
        <v>157</v>
      </c>
      <c r="G179" s="10"/>
    </row>
    <row r="180" spans="1:7" ht="22.35">
      <c r="A180" s="8" t="s">
        <v>133</v>
      </c>
      <c r="B180" s="8">
        <v>2021</v>
      </c>
      <c r="C180" s="8" t="s">
        <v>78</v>
      </c>
      <c r="D180" s="8" t="s">
        <v>329</v>
      </c>
      <c r="E180" s="8" t="s">
        <v>330</v>
      </c>
      <c r="F180" s="9" t="s">
        <v>157</v>
      </c>
      <c r="G180" s="10" t="s">
        <v>331</v>
      </c>
    </row>
    <row r="181" spans="1:7">
      <c r="A181" s="8" t="s">
        <v>133</v>
      </c>
      <c r="B181" s="8">
        <v>2021</v>
      </c>
      <c r="C181" s="8" t="s">
        <v>84</v>
      </c>
      <c r="D181" s="8" t="s">
        <v>236</v>
      </c>
      <c r="E181" s="8" t="s">
        <v>332</v>
      </c>
      <c r="F181" s="9" t="s">
        <v>157</v>
      </c>
      <c r="G181" s="10"/>
    </row>
    <row r="182" spans="1:7">
      <c r="A182" s="8" t="s">
        <v>133</v>
      </c>
      <c r="B182" s="8">
        <v>2021</v>
      </c>
      <c r="C182" s="8" t="s">
        <v>191</v>
      </c>
      <c r="D182" s="8" t="s">
        <v>333</v>
      </c>
      <c r="E182" s="8" t="s">
        <v>334</v>
      </c>
      <c r="F182" s="9" t="s">
        <v>157</v>
      </c>
      <c r="G182" s="10"/>
    </row>
    <row r="183" spans="1:7">
      <c r="A183" s="8" t="s">
        <v>133</v>
      </c>
      <c r="B183" s="8">
        <v>2021</v>
      </c>
      <c r="C183" s="8" t="s">
        <v>95</v>
      </c>
      <c r="D183" s="8" t="s">
        <v>267</v>
      </c>
      <c r="E183" s="8" t="s">
        <v>328</v>
      </c>
      <c r="F183" s="9" t="s">
        <v>157</v>
      </c>
      <c r="G183" s="10"/>
    </row>
    <row r="184" spans="1:7">
      <c r="A184" s="8" t="s">
        <v>133</v>
      </c>
      <c r="B184" s="8">
        <v>2022</v>
      </c>
      <c r="C184" s="8" t="s">
        <v>21</v>
      </c>
      <c r="D184" s="8" t="s">
        <v>335</v>
      </c>
      <c r="E184" s="8" t="s">
        <v>313</v>
      </c>
      <c r="F184" s="9" t="s">
        <v>157</v>
      </c>
      <c r="G184" s="10"/>
    </row>
    <row r="185" spans="1:7">
      <c r="A185" s="8" t="s">
        <v>133</v>
      </c>
      <c r="B185" s="8">
        <v>2022</v>
      </c>
      <c r="C185" s="8" t="s">
        <v>27</v>
      </c>
      <c r="D185" s="8" t="s">
        <v>336</v>
      </c>
      <c r="E185" s="8" t="s">
        <v>315</v>
      </c>
      <c r="F185" s="9" t="s">
        <v>157</v>
      </c>
      <c r="G185" s="10"/>
    </row>
    <row r="186" spans="1:7">
      <c r="A186" s="8" t="s">
        <v>133</v>
      </c>
      <c r="B186" s="8">
        <v>2022</v>
      </c>
      <c r="C186" s="8" t="s">
        <v>30</v>
      </c>
      <c r="D186" s="8" t="s">
        <v>172</v>
      </c>
      <c r="E186" s="8" t="s">
        <v>337</v>
      </c>
      <c r="F186" s="9" t="s">
        <v>157</v>
      </c>
      <c r="G186" s="10"/>
    </row>
    <row r="187" spans="1:7">
      <c r="A187" s="8" t="s">
        <v>133</v>
      </c>
      <c r="B187" s="8">
        <v>2022</v>
      </c>
      <c r="C187" s="8" t="s">
        <v>33</v>
      </c>
      <c r="D187" s="8" t="s">
        <v>170</v>
      </c>
      <c r="E187" s="8" t="s">
        <v>338</v>
      </c>
      <c r="F187" s="9" t="s">
        <v>157</v>
      </c>
      <c r="G187" s="10"/>
    </row>
    <row r="188" spans="1:7">
      <c r="A188" s="8" t="s">
        <v>133</v>
      </c>
      <c r="B188" s="8">
        <v>2022</v>
      </c>
      <c r="C188" s="8" t="s">
        <v>37</v>
      </c>
      <c r="D188" s="8" t="s">
        <v>339</v>
      </c>
      <c r="E188" s="8" t="s">
        <v>315</v>
      </c>
      <c r="F188" s="9" t="s">
        <v>157</v>
      </c>
      <c r="G188" s="10"/>
    </row>
    <row r="189" spans="1:7">
      <c r="A189" s="8" t="s">
        <v>133</v>
      </c>
      <c r="B189" s="8">
        <v>2022</v>
      </c>
      <c r="C189" s="8" t="s">
        <v>40</v>
      </c>
      <c r="D189" s="8" t="s">
        <v>340</v>
      </c>
      <c r="E189" s="8" t="s">
        <v>341</v>
      </c>
      <c r="F189" s="9" t="s">
        <v>157</v>
      </c>
      <c r="G189" s="10"/>
    </row>
    <row r="190" spans="1:7">
      <c r="A190" s="8" t="s">
        <v>133</v>
      </c>
      <c r="B190" s="8">
        <v>2022</v>
      </c>
      <c r="C190" s="8" t="s">
        <v>55</v>
      </c>
      <c r="D190" s="8" t="s">
        <v>163</v>
      </c>
      <c r="E190" s="8" t="s">
        <v>342</v>
      </c>
      <c r="F190" s="9" t="s">
        <v>157</v>
      </c>
      <c r="G190" s="10" t="s">
        <v>343</v>
      </c>
    </row>
    <row r="191" spans="1:7">
      <c r="A191" s="8" t="s">
        <v>133</v>
      </c>
      <c r="B191" s="8">
        <v>2022</v>
      </c>
      <c r="C191" s="8" t="s">
        <v>59</v>
      </c>
      <c r="D191" s="8" t="s">
        <v>344</v>
      </c>
      <c r="E191" s="8" t="s">
        <v>345</v>
      </c>
      <c r="F191" s="9" t="s">
        <v>157</v>
      </c>
      <c r="G191" s="10"/>
    </row>
    <row r="192" spans="1:7">
      <c r="A192" s="8" t="s">
        <v>133</v>
      </c>
      <c r="B192" s="8">
        <v>2022</v>
      </c>
      <c r="C192" s="8" t="s">
        <v>63</v>
      </c>
      <c r="D192" s="8" t="s">
        <v>346</v>
      </c>
      <c r="E192" s="8" t="s">
        <v>328</v>
      </c>
      <c r="F192" s="9" t="s">
        <v>157</v>
      </c>
      <c r="G192" s="10"/>
    </row>
    <row r="193" spans="1:7">
      <c r="A193" s="8" t="s">
        <v>133</v>
      </c>
      <c r="B193" s="8">
        <v>2022</v>
      </c>
      <c r="C193" s="8" t="s">
        <v>167</v>
      </c>
      <c r="D193" s="8" t="s">
        <v>346</v>
      </c>
      <c r="E193" s="8" t="s">
        <v>328</v>
      </c>
      <c r="F193" s="9" t="s">
        <v>157</v>
      </c>
      <c r="G193" s="10"/>
    </row>
    <row r="194" spans="1:7">
      <c r="A194" s="8" t="s">
        <v>133</v>
      </c>
      <c r="B194" s="8">
        <v>2022</v>
      </c>
      <c r="C194" s="8" t="s">
        <v>74</v>
      </c>
      <c r="D194" s="8" t="s">
        <v>346</v>
      </c>
      <c r="E194" s="8" t="s">
        <v>328</v>
      </c>
      <c r="F194" s="9" t="s">
        <v>157</v>
      </c>
      <c r="G194" s="10"/>
    </row>
    <row r="195" spans="1:7" ht="32.85">
      <c r="A195" s="8" t="s">
        <v>133</v>
      </c>
      <c r="B195" s="8">
        <v>2022</v>
      </c>
      <c r="C195" s="8" t="s">
        <v>78</v>
      </c>
      <c r="D195" s="8" t="s">
        <v>347</v>
      </c>
      <c r="E195" s="8" t="s">
        <v>348</v>
      </c>
      <c r="F195" s="12" t="s">
        <v>323</v>
      </c>
      <c r="G195" s="10" t="s">
        <v>349</v>
      </c>
    </row>
    <row r="196" spans="1:7">
      <c r="A196" s="8" t="s">
        <v>133</v>
      </c>
      <c r="B196" s="8">
        <v>2022</v>
      </c>
      <c r="C196" s="8" t="s">
        <v>84</v>
      </c>
      <c r="D196" s="8" t="s">
        <v>350</v>
      </c>
      <c r="E196" s="8" t="s">
        <v>332</v>
      </c>
      <c r="F196" s="9" t="s">
        <v>157</v>
      </c>
      <c r="G196" s="10"/>
    </row>
    <row r="197" spans="1:7">
      <c r="A197" s="8" t="s">
        <v>133</v>
      </c>
      <c r="B197" s="8">
        <v>2022</v>
      </c>
      <c r="C197" s="8" t="s">
        <v>191</v>
      </c>
      <c r="D197" s="8" t="s">
        <v>351</v>
      </c>
      <c r="E197" s="8" t="s">
        <v>352</v>
      </c>
      <c r="F197" s="9" t="s">
        <v>157</v>
      </c>
      <c r="G197" s="10"/>
    </row>
    <row r="198" spans="1:7">
      <c r="A198" s="8" t="s">
        <v>133</v>
      </c>
      <c r="B198" s="8">
        <v>2022</v>
      </c>
      <c r="C198" s="8" t="s">
        <v>95</v>
      </c>
      <c r="D198" s="8" t="s">
        <v>346</v>
      </c>
      <c r="E198" s="8" t="s">
        <v>328</v>
      </c>
      <c r="F198" s="9" t="s">
        <v>157</v>
      </c>
      <c r="G198" s="10"/>
    </row>
    <row r="199" spans="1:7">
      <c r="A199" s="8" t="s">
        <v>133</v>
      </c>
      <c r="B199" s="8">
        <v>2023</v>
      </c>
      <c r="C199" s="8" t="s">
        <v>21</v>
      </c>
      <c r="D199" s="8" t="s">
        <v>353</v>
      </c>
      <c r="E199" s="8" t="s">
        <v>354</v>
      </c>
      <c r="F199" s="9" t="s">
        <v>157</v>
      </c>
      <c r="G199" s="10"/>
    </row>
    <row r="200" spans="1:7">
      <c r="A200" s="8" t="s">
        <v>133</v>
      </c>
      <c r="B200" s="8">
        <v>2023</v>
      </c>
      <c r="C200" s="8" t="s">
        <v>27</v>
      </c>
      <c r="D200" s="8" t="s">
        <v>353</v>
      </c>
      <c r="E200" s="8" t="s">
        <v>315</v>
      </c>
      <c r="F200" s="9" t="s">
        <v>157</v>
      </c>
      <c r="G200" s="10"/>
    </row>
    <row r="201" spans="1:7">
      <c r="A201" s="8" t="s">
        <v>133</v>
      </c>
      <c r="B201" s="8">
        <v>2023</v>
      </c>
      <c r="C201" s="8" t="s">
        <v>30</v>
      </c>
      <c r="D201" s="8" t="s">
        <v>355</v>
      </c>
      <c r="E201" s="8" t="s">
        <v>356</v>
      </c>
      <c r="F201" s="9" t="s">
        <v>157</v>
      </c>
      <c r="G201" s="10"/>
    </row>
    <row r="202" spans="1:7">
      <c r="A202" s="8" t="s">
        <v>133</v>
      </c>
      <c r="B202" s="8">
        <v>2023</v>
      </c>
      <c r="C202" s="8" t="s">
        <v>33</v>
      </c>
      <c r="D202" s="8" t="s">
        <v>357</v>
      </c>
      <c r="E202" s="8" t="s">
        <v>338</v>
      </c>
      <c r="F202" s="9" t="s">
        <v>157</v>
      </c>
      <c r="G202" s="10"/>
    </row>
    <row r="203" spans="1:7">
      <c r="A203" s="8" t="s">
        <v>133</v>
      </c>
      <c r="B203" s="8">
        <v>2023</v>
      </c>
      <c r="C203" s="8" t="s">
        <v>37</v>
      </c>
      <c r="D203" s="8" t="s">
        <v>358</v>
      </c>
      <c r="E203" s="8" t="s">
        <v>315</v>
      </c>
      <c r="F203" s="9" t="s">
        <v>157</v>
      </c>
      <c r="G203" s="10"/>
    </row>
    <row r="204" spans="1:7">
      <c r="A204" s="8" t="s">
        <v>133</v>
      </c>
      <c r="B204" s="8">
        <v>2023</v>
      </c>
      <c r="C204" s="8" t="s">
        <v>40</v>
      </c>
      <c r="D204" s="8" t="s">
        <v>350</v>
      </c>
      <c r="E204" s="8" t="s">
        <v>341</v>
      </c>
      <c r="F204" s="9" t="s">
        <v>157</v>
      </c>
      <c r="G204" s="10"/>
    </row>
    <row r="205" spans="1:7">
      <c r="A205" s="8" t="s">
        <v>133</v>
      </c>
      <c r="B205" s="8">
        <v>2023</v>
      </c>
      <c r="C205" s="8" t="s">
        <v>55</v>
      </c>
      <c r="D205" s="8" t="s">
        <v>359</v>
      </c>
      <c r="E205" s="8" t="s">
        <v>360</v>
      </c>
      <c r="F205" s="9" t="s">
        <v>157</v>
      </c>
      <c r="G205" s="10"/>
    </row>
    <row r="206" spans="1:7">
      <c r="A206" s="8" t="s">
        <v>133</v>
      </c>
      <c r="B206" s="8">
        <v>2023</v>
      </c>
      <c r="C206" s="8" t="s">
        <v>59</v>
      </c>
      <c r="D206" s="8" t="s">
        <v>361</v>
      </c>
      <c r="E206" s="8" t="s">
        <v>362</v>
      </c>
      <c r="F206" s="9" t="s">
        <v>157</v>
      </c>
      <c r="G206" s="10"/>
    </row>
    <row r="207" spans="1:7">
      <c r="A207" s="8" t="s">
        <v>133</v>
      </c>
      <c r="B207" s="8">
        <v>2023</v>
      </c>
      <c r="C207" s="8" t="s">
        <v>63</v>
      </c>
      <c r="D207" s="8" t="s">
        <v>206</v>
      </c>
      <c r="E207" s="8" t="s">
        <v>328</v>
      </c>
      <c r="F207" s="9" t="s">
        <v>157</v>
      </c>
      <c r="G207" s="10"/>
    </row>
    <row r="208" spans="1:7">
      <c r="A208" s="8" t="s">
        <v>133</v>
      </c>
      <c r="B208" s="8">
        <v>2023</v>
      </c>
      <c r="C208" s="8" t="s">
        <v>167</v>
      </c>
      <c r="D208" s="8" t="s">
        <v>206</v>
      </c>
      <c r="E208" s="8" t="s">
        <v>328</v>
      </c>
      <c r="F208" s="9" t="s">
        <v>157</v>
      </c>
      <c r="G208" s="10"/>
    </row>
    <row r="209" spans="1:7">
      <c r="A209" s="8" t="s">
        <v>133</v>
      </c>
      <c r="B209" s="8">
        <v>2023</v>
      </c>
      <c r="C209" s="8" t="s">
        <v>74</v>
      </c>
      <c r="D209" s="8" t="s">
        <v>206</v>
      </c>
      <c r="E209" s="8" t="s">
        <v>328</v>
      </c>
      <c r="F209" s="9" t="s">
        <v>157</v>
      </c>
      <c r="G209" s="10"/>
    </row>
    <row r="210" spans="1:7" ht="32.85">
      <c r="A210" s="8" t="s">
        <v>133</v>
      </c>
      <c r="B210" s="8">
        <v>2023</v>
      </c>
      <c r="C210" s="8" t="s">
        <v>78</v>
      </c>
      <c r="D210" s="8" t="s">
        <v>363</v>
      </c>
      <c r="E210" s="8" t="s">
        <v>364</v>
      </c>
      <c r="F210" s="9" t="s">
        <v>157</v>
      </c>
      <c r="G210" s="10" t="s">
        <v>365</v>
      </c>
    </row>
    <row r="211" spans="1:7">
      <c r="A211" s="8" t="s">
        <v>133</v>
      </c>
      <c r="B211" s="8">
        <v>2023</v>
      </c>
      <c r="C211" s="8" t="s">
        <v>84</v>
      </c>
      <c r="D211" s="8" t="s">
        <v>366</v>
      </c>
      <c r="E211" s="8" t="s">
        <v>332</v>
      </c>
      <c r="F211" s="9" t="s">
        <v>157</v>
      </c>
      <c r="G211" s="10" t="s">
        <v>367</v>
      </c>
    </row>
    <row r="212" spans="1:7">
      <c r="A212" s="8" t="s">
        <v>133</v>
      </c>
      <c r="B212" s="8">
        <v>2023</v>
      </c>
      <c r="C212" s="8" t="s">
        <v>191</v>
      </c>
      <c r="D212" s="8" t="s">
        <v>190</v>
      </c>
      <c r="E212" s="8" t="s">
        <v>352</v>
      </c>
      <c r="F212" s="9" t="s">
        <v>157</v>
      </c>
      <c r="G212" s="10" t="s">
        <v>368</v>
      </c>
    </row>
    <row r="213" spans="1:7">
      <c r="A213" s="8" t="s">
        <v>133</v>
      </c>
      <c r="B213" s="8">
        <v>2023</v>
      </c>
      <c r="C213" s="8" t="s">
        <v>95</v>
      </c>
      <c r="D213" s="8" t="s">
        <v>206</v>
      </c>
      <c r="E213" s="8" t="s">
        <v>328</v>
      </c>
      <c r="F213" s="9" t="s">
        <v>157</v>
      </c>
      <c r="G213" s="10"/>
    </row>
    <row r="214" spans="1:7">
      <c r="A214" s="8" t="s">
        <v>133</v>
      </c>
      <c r="B214" s="8">
        <v>2024</v>
      </c>
      <c r="C214" s="8" t="s">
        <v>21</v>
      </c>
      <c r="D214" s="8" t="s">
        <v>369</v>
      </c>
      <c r="E214" s="8" t="s">
        <v>354</v>
      </c>
      <c r="F214" s="9" t="s">
        <v>157</v>
      </c>
      <c r="G214" s="10"/>
    </row>
    <row r="215" spans="1:7">
      <c r="A215" s="8" t="s">
        <v>133</v>
      </c>
      <c r="B215" s="8">
        <v>2024</v>
      </c>
      <c r="C215" s="8" t="s">
        <v>27</v>
      </c>
      <c r="D215" s="8" t="s">
        <v>369</v>
      </c>
      <c r="E215" s="8" t="s">
        <v>315</v>
      </c>
      <c r="F215" s="9" t="s">
        <v>157</v>
      </c>
      <c r="G215" s="10"/>
    </row>
    <row r="216" spans="1:7">
      <c r="A216" s="8" t="s">
        <v>133</v>
      </c>
      <c r="B216" s="8">
        <v>2024</v>
      </c>
      <c r="C216" s="8" t="s">
        <v>30</v>
      </c>
      <c r="D216" s="8" t="s">
        <v>184</v>
      </c>
      <c r="E216" s="8" t="s">
        <v>370</v>
      </c>
      <c r="F216" s="9" t="s">
        <v>157</v>
      </c>
      <c r="G216" s="10"/>
    </row>
    <row r="217" spans="1:7" ht="32.85">
      <c r="A217" s="8" t="s">
        <v>133</v>
      </c>
      <c r="B217" s="8">
        <v>2024</v>
      </c>
      <c r="C217" s="8" t="s">
        <v>33</v>
      </c>
      <c r="D217" s="8" t="s">
        <v>184</v>
      </c>
      <c r="E217" s="8" t="s">
        <v>338</v>
      </c>
      <c r="F217" s="9" t="s">
        <v>157</v>
      </c>
      <c r="G217" s="10" t="s">
        <v>371</v>
      </c>
    </row>
    <row r="218" spans="1:7" ht="22.35">
      <c r="A218" s="8" t="s">
        <v>133</v>
      </c>
      <c r="B218" s="8">
        <v>2024</v>
      </c>
      <c r="C218" s="8" t="s">
        <v>37</v>
      </c>
      <c r="D218" s="8" t="s">
        <v>369</v>
      </c>
      <c r="E218" s="8" t="s">
        <v>315</v>
      </c>
      <c r="F218" s="9" t="s">
        <v>157</v>
      </c>
      <c r="G218" s="10" t="s">
        <v>372</v>
      </c>
    </row>
    <row r="219" spans="1:7">
      <c r="A219" s="8" t="s">
        <v>133</v>
      </c>
      <c r="B219" s="8">
        <v>2024</v>
      </c>
      <c r="C219" s="8" t="s">
        <v>40</v>
      </c>
      <c r="D219" s="8" t="s">
        <v>373</v>
      </c>
      <c r="E219" s="8" t="s">
        <v>374</v>
      </c>
      <c r="F219" s="9" t="s">
        <v>157</v>
      </c>
      <c r="G219" s="10"/>
    </row>
    <row r="220" spans="1:7">
      <c r="A220" s="8" t="s">
        <v>133</v>
      </c>
      <c r="B220" s="8">
        <v>2024</v>
      </c>
      <c r="C220" s="8" t="s">
        <v>55</v>
      </c>
      <c r="D220" s="8" t="s">
        <v>236</v>
      </c>
      <c r="E220" s="8" t="s">
        <v>328</v>
      </c>
      <c r="F220" s="9" t="s">
        <v>157</v>
      </c>
      <c r="G220" s="10"/>
    </row>
    <row r="221" spans="1:7">
      <c r="A221" s="8" t="s">
        <v>133</v>
      </c>
      <c r="B221" s="8">
        <v>2024</v>
      </c>
      <c r="C221" s="8" t="s">
        <v>59</v>
      </c>
      <c r="D221" s="8" t="s">
        <v>375</v>
      </c>
      <c r="E221" s="8" t="s">
        <v>362</v>
      </c>
      <c r="F221" s="9" t="s">
        <v>157</v>
      </c>
      <c r="G221" s="10"/>
    </row>
    <row r="222" spans="1:7">
      <c r="A222" s="8" t="s">
        <v>133</v>
      </c>
      <c r="B222" s="8">
        <v>2024</v>
      </c>
      <c r="C222" s="8" t="s">
        <v>63</v>
      </c>
      <c r="D222" s="8" t="s">
        <v>236</v>
      </c>
      <c r="E222" s="8" t="s">
        <v>328</v>
      </c>
      <c r="F222" s="9" t="s">
        <v>157</v>
      </c>
      <c r="G222" s="10"/>
    </row>
    <row r="223" spans="1:7">
      <c r="A223" s="8" t="s">
        <v>133</v>
      </c>
      <c r="B223" s="8">
        <v>2024</v>
      </c>
      <c r="C223" s="8" t="s">
        <v>167</v>
      </c>
      <c r="D223" s="8" t="s">
        <v>236</v>
      </c>
      <c r="E223" s="8" t="s">
        <v>328</v>
      </c>
      <c r="F223" s="9" t="s">
        <v>157</v>
      </c>
      <c r="G223" s="10"/>
    </row>
    <row r="224" spans="1:7">
      <c r="A224" s="8" t="s">
        <v>133</v>
      </c>
      <c r="B224" s="8">
        <v>2024</v>
      </c>
      <c r="C224" s="8" t="s">
        <v>74</v>
      </c>
      <c r="D224" s="8" t="s">
        <v>236</v>
      </c>
      <c r="E224" s="8" t="s">
        <v>328</v>
      </c>
      <c r="F224" s="9" t="s">
        <v>157</v>
      </c>
      <c r="G224" s="10"/>
    </row>
    <row r="225" spans="1:7" ht="22.35">
      <c r="A225" s="8" t="s">
        <v>133</v>
      </c>
      <c r="B225" s="8">
        <v>2024</v>
      </c>
      <c r="C225" s="8" t="s">
        <v>78</v>
      </c>
      <c r="D225" s="8" t="s">
        <v>376</v>
      </c>
      <c r="E225" s="8" t="s">
        <v>377</v>
      </c>
      <c r="F225" s="12" t="s">
        <v>323</v>
      </c>
      <c r="G225" s="10" t="s">
        <v>378</v>
      </c>
    </row>
    <row r="226" spans="1:7">
      <c r="A226" s="8" t="s">
        <v>133</v>
      </c>
      <c r="B226" s="8">
        <v>2024</v>
      </c>
      <c r="C226" s="8" t="s">
        <v>84</v>
      </c>
      <c r="D226" s="8" t="s">
        <v>172</v>
      </c>
      <c r="E226" s="8" t="s">
        <v>379</v>
      </c>
      <c r="F226" s="9" t="s">
        <v>157</v>
      </c>
      <c r="G226" s="10" t="s">
        <v>380</v>
      </c>
    </row>
    <row r="227" spans="1:7">
      <c r="A227" s="8" t="s">
        <v>133</v>
      </c>
      <c r="B227" s="8">
        <v>2024</v>
      </c>
      <c r="C227" s="8" t="s">
        <v>191</v>
      </c>
      <c r="D227" s="8" t="s">
        <v>221</v>
      </c>
      <c r="E227" s="8" t="s">
        <v>381</v>
      </c>
      <c r="F227" s="9" t="s">
        <v>157</v>
      </c>
      <c r="G227" s="10"/>
    </row>
    <row r="228" spans="1:7">
      <c r="A228" s="8" t="s">
        <v>133</v>
      </c>
      <c r="B228" s="8">
        <v>2024</v>
      </c>
      <c r="C228" s="8" t="s">
        <v>95</v>
      </c>
      <c r="D228" s="8" t="s">
        <v>346</v>
      </c>
      <c r="E228" s="8" t="s">
        <v>328</v>
      </c>
      <c r="F228" s="9" t="s">
        <v>157</v>
      </c>
      <c r="G228" s="10"/>
    </row>
    <row r="229" spans="1:7">
      <c r="A229" s="8" t="s">
        <v>133</v>
      </c>
      <c r="B229" s="8">
        <v>2025</v>
      </c>
      <c r="C229" s="8" t="s">
        <v>21</v>
      </c>
      <c r="D229" s="8" t="s">
        <v>382</v>
      </c>
      <c r="E229" s="8" t="s">
        <v>354</v>
      </c>
      <c r="F229" s="9" t="s">
        <v>157</v>
      </c>
      <c r="G229" s="10"/>
    </row>
    <row r="230" spans="1:7">
      <c r="A230" s="8" t="s">
        <v>133</v>
      </c>
      <c r="B230" s="8">
        <v>2025</v>
      </c>
      <c r="C230" s="8" t="s">
        <v>27</v>
      </c>
      <c r="D230" s="8" t="s">
        <v>382</v>
      </c>
      <c r="E230" s="8" t="s">
        <v>315</v>
      </c>
      <c r="F230" s="9" t="s">
        <v>157</v>
      </c>
      <c r="G230" s="10"/>
    </row>
    <row r="231" spans="1:7">
      <c r="A231" s="8" t="s">
        <v>133</v>
      </c>
      <c r="B231" s="8">
        <v>2025</v>
      </c>
      <c r="C231" s="8" t="s">
        <v>30</v>
      </c>
      <c r="D231" s="8" t="s">
        <v>177</v>
      </c>
      <c r="E231" s="8" t="s">
        <v>356</v>
      </c>
      <c r="F231" s="9" t="s">
        <v>157</v>
      </c>
      <c r="G231" s="10"/>
    </row>
    <row r="232" spans="1:7">
      <c r="A232" s="8" t="s">
        <v>133</v>
      </c>
      <c r="B232" s="8">
        <v>2025</v>
      </c>
      <c r="C232" s="8" t="s">
        <v>33</v>
      </c>
      <c r="D232" s="8" t="s">
        <v>177</v>
      </c>
      <c r="E232" s="8" t="s">
        <v>338</v>
      </c>
      <c r="F232" s="9" t="s">
        <v>157</v>
      </c>
      <c r="G232" s="10"/>
    </row>
    <row r="233" spans="1:7" ht="22.35">
      <c r="A233" s="8" t="s">
        <v>133</v>
      </c>
      <c r="B233" s="8">
        <v>2025</v>
      </c>
      <c r="C233" s="8" t="s">
        <v>37</v>
      </c>
      <c r="D233" s="8" t="s">
        <v>382</v>
      </c>
      <c r="E233" s="8" t="s">
        <v>315</v>
      </c>
      <c r="F233" s="9" t="s">
        <v>157</v>
      </c>
      <c r="G233" s="10" t="s">
        <v>383</v>
      </c>
    </row>
    <row r="234" spans="1:7">
      <c r="A234" s="8" t="s">
        <v>133</v>
      </c>
      <c r="B234" s="8">
        <v>2025</v>
      </c>
      <c r="C234" s="8" t="s">
        <v>40</v>
      </c>
      <c r="D234" s="8" t="s">
        <v>384</v>
      </c>
      <c r="E234" s="8" t="s">
        <v>341</v>
      </c>
      <c r="F234" s="9" t="s">
        <v>157</v>
      </c>
      <c r="G234" s="10"/>
    </row>
    <row r="235" spans="1:7">
      <c r="A235" s="8" t="s">
        <v>133</v>
      </c>
      <c r="B235" s="8">
        <v>2025</v>
      </c>
      <c r="C235" s="8" t="s">
        <v>55</v>
      </c>
      <c r="D235" s="8" t="s">
        <v>385</v>
      </c>
      <c r="E235" s="8" t="s">
        <v>362</v>
      </c>
      <c r="F235" s="9" t="s">
        <v>157</v>
      </c>
      <c r="G235" s="10"/>
    </row>
    <row r="236" spans="1:7">
      <c r="A236" s="8" t="s">
        <v>133</v>
      </c>
      <c r="B236" s="8">
        <v>2025</v>
      </c>
      <c r="C236" s="8" t="s">
        <v>59</v>
      </c>
      <c r="D236" s="8" t="s">
        <v>386</v>
      </c>
      <c r="E236" s="8" t="s">
        <v>362</v>
      </c>
      <c r="F236" s="9" t="s">
        <v>157</v>
      </c>
      <c r="G236" s="10"/>
    </row>
    <row r="237" spans="1:7">
      <c r="A237" s="8" t="s">
        <v>133</v>
      </c>
      <c r="B237" s="8">
        <v>2025</v>
      </c>
      <c r="C237" s="8" t="s">
        <v>63</v>
      </c>
      <c r="D237" s="8" t="s">
        <v>387</v>
      </c>
      <c r="E237" s="8" t="s">
        <v>388</v>
      </c>
      <c r="F237" s="9" t="s">
        <v>157</v>
      </c>
      <c r="G237" s="10"/>
    </row>
    <row r="238" spans="1:7">
      <c r="A238" s="8" t="s">
        <v>133</v>
      </c>
      <c r="B238" s="8">
        <v>2025</v>
      </c>
      <c r="C238" s="8" t="s">
        <v>167</v>
      </c>
      <c r="D238" s="8" t="s">
        <v>387</v>
      </c>
      <c r="E238" s="8" t="s">
        <v>315</v>
      </c>
      <c r="F238" s="9" t="s">
        <v>157</v>
      </c>
      <c r="G238" s="10"/>
    </row>
    <row r="239" spans="1:7">
      <c r="A239" s="8" t="s">
        <v>133</v>
      </c>
      <c r="B239" s="8">
        <v>2025</v>
      </c>
      <c r="C239" s="8" t="s">
        <v>74</v>
      </c>
      <c r="D239" s="8" t="s">
        <v>168</v>
      </c>
      <c r="E239" s="8" t="s">
        <v>389</v>
      </c>
      <c r="F239" s="9" t="s">
        <v>157</v>
      </c>
      <c r="G239" s="10"/>
    </row>
    <row r="240" spans="1:7">
      <c r="A240" s="8" t="s">
        <v>133</v>
      </c>
      <c r="B240" s="8">
        <v>2025</v>
      </c>
      <c r="C240" s="8" t="s">
        <v>78</v>
      </c>
      <c r="D240" s="8" t="s">
        <v>390</v>
      </c>
      <c r="E240" s="8" t="s">
        <v>391</v>
      </c>
      <c r="F240" s="9" t="s">
        <v>157</v>
      </c>
      <c r="G240" s="10" t="s">
        <v>392</v>
      </c>
    </row>
    <row r="241" spans="1:7">
      <c r="A241" s="8" t="s">
        <v>133</v>
      </c>
      <c r="B241" s="8">
        <v>2025</v>
      </c>
      <c r="C241" s="8" t="s">
        <v>84</v>
      </c>
      <c r="D241" s="8" t="s">
        <v>178</v>
      </c>
      <c r="E241" s="8" t="s">
        <v>379</v>
      </c>
      <c r="F241" s="9" t="s">
        <v>157</v>
      </c>
      <c r="G241" s="10"/>
    </row>
    <row r="242" spans="1:7" ht="22.35">
      <c r="A242" s="8" t="s">
        <v>133</v>
      </c>
      <c r="B242" s="8">
        <v>2025</v>
      </c>
      <c r="C242" s="8" t="s">
        <v>191</v>
      </c>
      <c r="D242" s="8" t="s">
        <v>221</v>
      </c>
      <c r="E242" s="8" t="s">
        <v>352</v>
      </c>
      <c r="F242" s="9" t="s">
        <v>157</v>
      </c>
      <c r="G242" s="10" t="s">
        <v>393</v>
      </c>
    </row>
    <row r="243" spans="1:7">
      <c r="A243" s="8" t="s">
        <v>133</v>
      </c>
      <c r="B243" s="8">
        <v>2025</v>
      </c>
      <c r="C243" s="8" t="s">
        <v>95</v>
      </c>
      <c r="D243" s="8" t="s">
        <v>394</v>
      </c>
      <c r="E243" s="8" t="s">
        <v>328</v>
      </c>
      <c r="F243" s="9" t="s">
        <v>157</v>
      </c>
      <c r="G243" s="10"/>
    </row>
    <row r="244" spans="1:7">
      <c r="A244" s="8" t="s">
        <v>136</v>
      </c>
      <c r="B244" s="8">
        <v>2021</v>
      </c>
      <c r="C244" s="8" t="s">
        <v>21</v>
      </c>
      <c r="D244" s="8" t="s">
        <v>170</v>
      </c>
      <c r="E244" s="8" t="s">
        <v>395</v>
      </c>
      <c r="F244" s="9" t="s">
        <v>157</v>
      </c>
      <c r="G244" s="10"/>
    </row>
    <row r="245" spans="1:7">
      <c r="A245" s="8" t="s">
        <v>136</v>
      </c>
      <c r="B245" s="8">
        <v>2021</v>
      </c>
      <c r="C245" s="8" t="s">
        <v>27</v>
      </c>
      <c r="D245" s="8" t="s">
        <v>170</v>
      </c>
      <c r="E245" s="8" t="s">
        <v>395</v>
      </c>
      <c r="F245" s="9" t="s">
        <v>157</v>
      </c>
      <c r="G245" s="10"/>
    </row>
    <row r="246" spans="1:7">
      <c r="A246" s="8" t="s">
        <v>136</v>
      </c>
      <c r="B246" s="8">
        <v>2021</v>
      </c>
      <c r="C246" s="8" t="s">
        <v>30</v>
      </c>
      <c r="D246" s="8" t="s">
        <v>366</v>
      </c>
      <c r="E246" s="8" t="s">
        <v>395</v>
      </c>
      <c r="F246" s="9" t="s">
        <v>157</v>
      </c>
      <c r="G246" s="10"/>
    </row>
    <row r="247" spans="1:7">
      <c r="A247" s="8" t="s">
        <v>136</v>
      </c>
      <c r="B247" s="8">
        <v>2021</v>
      </c>
      <c r="C247" s="8" t="s">
        <v>33</v>
      </c>
      <c r="D247" s="8" t="s">
        <v>305</v>
      </c>
      <c r="E247" s="8" t="s">
        <v>395</v>
      </c>
      <c r="F247" s="9" t="s">
        <v>157</v>
      </c>
      <c r="G247" s="10"/>
    </row>
    <row r="248" spans="1:7">
      <c r="A248" s="8" t="s">
        <v>136</v>
      </c>
      <c r="B248" s="8">
        <v>2021</v>
      </c>
      <c r="C248" s="8" t="s">
        <v>37</v>
      </c>
      <c r="D248" s="8" t="s">
        <v>305</v>
      </c>
      <c r="E248" s="8" t="s">
        <v>395</v>
      </c>
      <c r="F248" s="9" t="s">
        <v>157</v>
      </c>
      <c r="G248" s="10"/>
    </row>
    <row r="249" spans="1:7">
      <c r="A249" s="8" t="s">
        <v>136</v>
      </c>
      <c r="B249" s="8">
        <v>2021</v>
      </c>
      <c r="C249" s="8" t="s">
        <v>44</v>
      </c>
      <c r="D249" s="8" t="s">
        <v>385</v>
      </c>
      <c r="E249" s="8" t="s">
        <v>395</v>
      </c>
      <c r="F249" s="9" t="s">
        <v>157</v>
      </c>
      <c r="G249" s="10"/>
    </row>
    <row r="250" spans="1:7">
      <c r="A250" s="8" t="s">
        <v>136</v>
      </c>
      <c r="B250" s="8">
        <v>2021</v>
      </c>
      <c r="C250" s="8" t="s">
        <v>162</v>
      </c>
      <c r="D250" s="8" t="s">
        <v>396</v>
      </c>
      <c r="E250" s="8" t="s">
        <v>395</v>
      </c>
      <c r="F250" s="9" t="s">
        <v>157</v>
      </c>
      <c r="G250" s="10"/>
    </row>
    <row r="251" spans="1:7">
      <c r="A251" s="8" t="s">
        <v>136</v>
      </c>
      <c r="B251" s="8">
        <v>2021</v>
      </c>
      <c r="C251" s="8" t="s">
        <v>165</v>
      </c>
      <c r="D251" s="8" t="s">
        <v>396</v>
      </c>
      <c r="E251" s="8" t="s">
        <v>395</v>
      </c>
      <c r="F251" s="9" t="s">
        <v>157</v>
      </c>
      <c r="G251" s="10"/>
    </row>
    <row r="252" spans="1:7">
      <c r="A252" s="8" t="s">
        <v>136</v>
      </c>
      <c r="B252" s="8">
        <v>2021</v>
      </c>
      <c r="C252" s="8" t="s">
        <v>63</v>
      </c>
      <c r="D252" s="8" t="s">
        <v>333</v>
      </c>
      <c r="E252" s="8" t="s">
        <v>395</v>
      </c>
      <c r="F252" s="9" t="s">
        <v>157</v>
      </c>
      <c r="G252" s="10"/>
    </row>
    <row r="253" spans="1:7">
      <c r="A253" s="8" t="s">
        <v>136</v>
      </c>
      <c r="B253" s="8">
        <v>2021</v>
      </c>
      <c r="C253" s="8" t="s">
        <v>167</v>
      </c>
      <c r="D253" s="8" t="s">
        <v>397</v>
      </c>
      <c r="E253" s="8" t="s">
        <v>395</v>
      </c>
      <c r="F253" s="9" t="s">
        <v>157</v>
      </c>
      <c r="G253" s="10"/>
    </row>
    <row r="254" spans="1:7">
      <c r="A254" s="8" t="s">
        <v>136</v>
      </c>
      <c r="B254" s="8">
        <v>2021</v>
      </c>
      <c r="C254" s="8" t="s">
        <v>78</v>
      </c>
      <c r="D254" s="8" t="s">
        <v>350</v>
      </c>
      <c r="E254" s="8" t="s">
        <v>395</v>
      </c>
      <c r="F254" s="9" t="s">
        <v>157</v>
      </c>
      <c r="G254" s="10"/>
    </row>
    <row r="255" spans="1:7">
      <c r="A255" s="8" t="s">
        <v>136</v>
      </c>
      <c r="B255" s="8">
        <v>2021</v>
      </c>
      <c r="C255" s="8" t="s">
        <v>95</v>
      </c>
      <c r="D255" s="8" t="s">
        <v>350</v>
      </c>
      <c r="E255" s="8" t="s">
        <v>395</v>
      </c>
      <c r="F255" s="9" t="s">
        <v>157</v>
      </c>
      <c r="G255" s="10"/>
    </row>
    <row r="256" spans="1:7" ht="22.35">
      <c r="A256" s="8" t="s">
        <v>136</v>
      </c>
      <c r="B256" s="8">
        <v>2021</v>
      </c>
      <c r="C256" s="8" t="s">
        <v>40</v>
      </c>
      <c r="D256" s="8" t="s">
        <v>305</v>
      </c>
      <c r="E256" s="8" t="s">
        <v>398</v>
      </c>
      <c r="F256" s="15" t="s">
        <v>265</v>
      </c>
      <c r="G256" s="10" t="s">
        <v>399</v>
      </c>
    </row>
    <row r="257" spans="1:7" ht="22.35">
      <c r="A257" s="8" t="s">
        <v>136</v>
      </c>
      <c r="B257" s="8">
        <v>2021</v>
      </c>
      <c r="C257" s="8" t="s">
        <v>59</v>
      </c>
      <c r="D257" s="8" t="s">
        <v>351</v>
      </c>
      <c r="E257" s="8" t="s">
        <v>400</v>
      </c>
      <c r="F257" s="9" t="s">
        <v>157</v>
      </c>
      <c r="G257" s="10" t="s">
        <v>401</v>
      </c>
    </row>
    <row r="258" spans="1:7">
      <c r="A258" s="8" t="s">
        <v>136</v>
      </c>
      <c r="B258" s="8">
        <v>2022</v>
      </c>
      <c r="C258" s="8" t="s">
        <v>21</v>
      </c>
      <c r="D258" s="8" t="s">
        <v>316</v>
      </c>
      <c r="E258" s="8" t="s">
        <v>395</v>
      </c>
      <c r="F258" s="9" t="s">
        <v>157</v>
      </c>
      <c r="G258" s="10"/>
    </row>
    <row r="259" spans="1:7">
      <c r="A259" s="8" t="s">
        <v>136</v>
      </c>
      <c r="B259" s="8">
        <v>2022</v>
      </c>
      <c r="C259" s="8" t="s">
        <v>27</v>
      </c>
      <c r="D259" s="8" t="s">
        <v>316</v>
      </c>
      <c r="E259" s="8" t="s">
        <v>395</v>
      </c>
      <c r="F259" s="9" t="s">
        <v>157</v>
      </c>
      <c r="G259" s="10"/>
    </row>
    <row r="260" spans="1:7">
      <c r="A260" s="8" t="s">
        <v>136</v>
      </c>
      <c r="B260" s="8">
        <v>2022</v>
      </c>
      <c r="C260" s="8" t="s">
        <v>30</v>
      </c>
      <c r="D260" s="8" t="s">
        <v>177</v>
      </c>
      <c r="E260" s="8" t="s">
        <v>395</v>
      </c>
      <c r="F260" s="9" t="s">
        <v>157</v>
      </c>
      <c r="G260" s="10"/>
    </row>
    <row r="261" spans="1:7">
      <c r="A261" s="8" t="s">
        <v>136</v>
      </c>
      <c r="B261" s="8">
        <v>2022</v>
      </c>
      <c r="C261" s="8" t="s">
        <v>33</v>
      </c>
      <c r="D261" s="8" t="s">
        <v>402</v>
      </c>
      <c r="E261" s="8" t="s">
        <v>395</v>
      </c>
      <c r="F261" s="9" t="s">
        <v>157</v>
      </c>
      <c r="G261" s="10"/>
    </row>
    <row r="262" spans="1:7">
      <c r="A262" s="8" t="s">
        <v>136</v>
      </c>
      <c r="B262" s="8">
        <v>2022</v>
      </c>
      <c r="C262" s="8" t="s">
        <v>37</v>
      </c>
      <c r="D262" s="8" t="s">
        <v>402</v>
      </c>
      <c r="E262" s="8" t="s">
        <v>395</v>
      </c>
      <c r="F262" s="9" t="s">
        <v>157</v>
      </c>
      <c r="G262" s="10"/>
    </row>
    <row r="263" spans="1:7">
      <c r="A263" s="8" t="s">
        <v>136</v>
      </c>
      <c r="B263" s="8">
        <v>2022</v>
      </c>
      <c r="C263" s="8" t="s">
        <v>44</v>
      </c>
      <c r="D263" s="8" t="s">
        <v>231</v>
      </c>
      <c r="E263" s="8" t="s">
        <v>395</v>
      </c>
      <c r="F263" s="9" t="s">
        <v>157</v>
      </c>
      <c r="G263" s="10"/>
    </row>
    <row r="264" spans="1:7">
      <c r="A264" s="8" t="s">
        <v>136</v>
      </c>
      <c r="B264" s="8">
        <v>2022</v>
      </c>
      <c r="C264" s="8" t="s">
        <v>162</v>
      </c>
      <c r="D264" s="8" t="s">
        <v>403</v>
      </c>
      <c r="E264" s="8" t="s">
        <v>395</v>
      </c>
      <c r="F264" s="9" t="s">
        <v>157</v>
      </c>
      <c r="G264" s="10"/>
    </row>
    <row r="265" spans="1:7">
      <c r="A265" s="8" t="s">
        <v>136</v>
      </c>
      <c r="B265" s="8">
        <v>2022</v>
      </c>
      <c r="C265" s="8" t="s">
        <v>165</v>
      </c>
      <c r="D265" s="8" t="s">
        <v>403</v>
      </c>
      <c r="E265" s="8" t="s">
        <v>395</v>
      </c>
      <c r="F265" s="9" t="s">
        <v>157</v>
      </c>
      <c r="G265" s="10"/>
    </row>
    <row r="266" spans="1:7">
      <c r="A266" s="8" t="s">
        <v>136</v>
      </c>
      <c r="B266" s="8">
        <v>2022</v>
      </c>
      <c r="C266" s="8" t="s">
        <v>63</v>
      </c>
      <c r="D266" s="8" t="s">
        <v>404</v>
      </c>
      <c r="E266" s="8" t="s">
        <v>395</v>
      </c>
      <c r="F266" s="9" t="s">
        <v>157</v>
      </c>
      <c r="G266" s="10"/>
    </row>
    <row r="267" spans="1:7">
      <c r="A267" s="8" t="s">
        <v>136</v>
      </c>
      <c r="B267" s="8">
        <v>2022</v>
      </c>
      <c r="C267" s="8" t="s">
        <v>167</v>
      </c>
      <c r="D267" s="8" t="s">
        <v>221</v>
      </c>
      <c r="E267" s="8" t="s">
        <v>395</v>
      </c>
      <c r="F267" s="9" t="s">
        <v>157</v>
      </c>
      <c r="G267" s="10"/>
    </row>
    <row r="268" spans="1:7">
      <c r="A268" s="8" t="s">
        <v>136</v>
      </c>
      <c r="B268" s="8">
        <v>2022</v>
      </c>
      <c r="C268" s="8" t="s">
        <v>78</v>
      </c>
      <c r="D268" s="8" t="s">
        <v>405</v>
      </c>
      <c r="E268" s="8" t="s">
        <v>395</v>
      </c>
      <c r="F268" s="9" t="s">
        <v>157</v>
      </c>
      <c r="G268" s="10"/>
    </row>
    <row r="269" spans="1:7">
      <c r="A269" s="8" t="s">
        <v>136</v>
      </c>
      <c r="B269" s="8">
        <v>2022</v>
      </c>
      <c r="C269" s="8" t="s">
        <v>95</v>
      </c>
      <c r="D269" s="8" t="s">
        <v>406</v>
      </c>
      <c r="E269" s="8" t="s">
        <v>395</v>
      </c>
      <c r="F269" s="9" t="s">
        <v>157</v>
      </c>
      <c r="G269" s="10"/>
    </row>
    <row r="270" spans="1:7" ht="22.35">
      <c r="A270" s="8" t="s">
        <v>136</v>
      </c>
      <c r="B270" s="8">
        <v>2022</v>
      </c>
      <c r="C270" s="8" t="s">
        <v>40</v>
      </c>
      <c r="D270" s="8" t="s">
        <v>402</v>
      </c>
      <c r="E270" s="8" t="s">
        <v>398</v>
      </c>
      <c r="F270" s="15" t="s">
        <v>265</v>
      </c>
      <c r="G270" s="10" t="s">
        <v>399</v>
      </c>
    </row>
    <row r="271" spans="1:7" ht="22.35">
      <c r="A271" s="8" t="s">
        <v>136</v>
      </c>
      <c r="B271" s="8">
        <v>2022</v>
      </c>
      <c r="C271" s="8" t="s">
        <v>59</v>
      </c>
      <c r="D271" s="8" t="s">
        <v>221</v>
      </c>
      <c r="E271" s="8" t="s">
        <v>400</v>
      </c>
      <c r="F271" s="9" t="s">
        <v>157</v>
      </c>
      <c r="G271" s="10" t="s">
        <v>401</v>
      </c>
    </row>
    <row r="272" spans="1:7">
      <c r="A272" s="8" t="s">
        <v>136</v>
      </c>
      <c r="B272" s="8">
        <v>2023</v>
      </c>
      <c r="C272" s="8" t="s">
        <v>21</v>
      </c>
      <c r="D272" s="8" t="s">
        <v>407</v>
      </c>
      <c r="E272" s="8" t="s">
        <v>395</v>
      </c>
      <c r="F272" s="9" t="s">
        <v>157</v>
      </c>
      <c r="G272" s="10"/>
    </row>
    <row r="273" spans="1:7">
      <c r="A273" s="8" t="s">
        <v>136</v>
      </c>
      <c r="B273" s="8">
        <v>2023</v>
      </c>
      <c r="C273" s="8" t="s">
        <v>27</v>
      </c>
      <c r="D273" s="8" t="s">
        <v>407</v>
      </c>
      <c r="E273" s="8" t="s">
        <v>395</v>
      </c>
      <c r="F273" s="9" t="s">
        <v>157</v>
      </c>
      <c r="G273" s="10"/>
    </row>
    <row r="274" spans="1:7">
      <c r="A274" s="8" t="s">
        <v>136</v>
      </c>
      <c r="B274" s="8">
        <v>2023</v>
      </c>
      <c r="C274" s="8" t="s">
        <v>30</v>
      </c>
      <c r="D274" s="8" t="s">
        <v>408</v>
      </c>
      <c r="E274" s="8" t="s">
        <v>395</v>
      </c>
      <c r="F274" s="9" t="s">
        <v>157</v>
      </c>
      <c r="G274" s="10"/>
    </row>
    <row r="275" spans="1:7">
      <c r="A275" s="8" t="s">
        <v>136</v>
      </c>
      <c r="B275" s="8">
        <v>2023</v>
      </c>
      <c r="C275" s="8" t="s">
        <v>33</v>
      </c>
      <c r="D275" s="8" t="s">
        <v>394</v>
      </c>
      <c r="E275" s="8" t="s">
        <v>395</v>
      </c>
      <c r="F275" s="9" t="s">
        <v>157</v>
      </c>
      <c r="G275" s="10"/>
    </row>
    <row r="276" spans="1:7">
      <c r="A276" s="8" t="s">
        <v>136</v>
      </c>
      <c r="B276" s="8">
        <v>2023</v>
      </c>
      <c r="C276" s="8" t="s">
        <v>37</v>
      </c>
      <c r="D276" s="8" t="s">
        <v>394</v>
      </c>
      <c r="E276" s="8" t="s">
        <v>395</v>
      </c>
      <c r="F276" s="9" t="s">
        <v>157</v>
      </c>
      <c r="G276" s="10"/>
    </row>
    <row r="277" spans="1:7">
      <c r="A277" s="8" t="s">
        <v>136</v>
      </c>
      <c r="B277" s="8">
        <v>2023</v>
      </c>
      <c r="C277" s="8" t="s">
        <v>44</v>
      </c>
      <c r="D277" s="8" t="s">
        <v>409</v>
      </c>
      <c r="E277" s="8" t="s">
        <v>395</v>
      </c>
      <c r="F277" s="9" t="s">
        <v>157</v>
      </c>
      <c r="G277" s="10"/>
    </row>
    <row r="278" spans="1:7">
      <c r="A278" s="8" t="s">
        <v>136</v>
      </c>
      <c r="B278" s="8">
        <v>2023</v>
      </c>
      <c r="C278" s="8" t="s">
        <v>162</v>
      </c>
      <c r="D278" s="8" t="s">
        <v>410</v>
      </c>
      <c r="E278" s="8" t="s">
        <v>395</v>
      </c>
      <c r="F278" s="9" t="s">
        <v>157</v>
      </c>
      <c r="G278" s="10"/>
    </row>
    <row r="279" spans="1:7">
      <c r="A279" s="8" t="s">
        <v>136</v>
      </c>
      <c r="B279" s="8">
        <v>2023</v>
      </c>
      <c r="C279" s="8" t="s">
        <v>165</v>
      </c>
      <c r="D279" s="8" t="s">
        <v>410</v>
      </c>
      <c r="E279" s="8" t="s">
        <v>395</v>
      </c>
      <c r="F279" s="9" t="s">
        <v>157</v>
      </c>
      <c r="G279" s="10"/>
    </row>
    <row r="280" spans="1:7">
      <c r="A280" s="8" t="s">
        <v>136</v>
      </c>
      <c r="B280" s="8">
        <v>2023</v>
      </c>
      <c r="C280" s="8" t="s">
        <v>63</v>
      </c>
      <c r="D280" s="8" t="s">
        <v>409</v>
      </c>
      <c r="E280" s="8" t="s">
        <v>395</v>
      </c>
      <c r="F280" s="9" t="s">
        <v>157</v>
      </c>
      <c r="G280" s="10"/>
    </row>
    <row r="281" spans="1:7">
      <c r="A281" s="8" t="s">
        <v>136</v>
      </c>
      <c r="B281" s="8">
        <v>2023</v>
      </c>
      <c r="C281" s="8" t="s">
        <v>167</v>
      </c>
      <c r="D281" s="8" t="s">
        <v>160</v>
      </c>
      <c r="E281" s="8" t="s">
        <v>395</v>
      </c>
      <c r="F281" s="9" t="s">
        <v>157</v>
      </c>
      <c r="G281" s="10"/>
    </row>
    <row r="282" spans="1:7">
      <c r="A282" s="8" t="s">
        <v>136</v>
      </c>
      <c r="B282" s="8">
        <v>2023</v>
      </c>
      <c r="C282" s="8" t="s">
        <v>78</v>
      </c>
      <c r="D282" s="8" t="s">
        <v>221</v>
      </c>
      <c r="E282" s="8" t="s">
        <v>395</v>
      </c>
      <c r="F282" s="9" t="s">
        <v>157</v>
      </c>
      <c r="G282" s="10"/>
    </row>
    <row r="283" spans="1:7">
      <c r="A283" s="8" t="s">
        <v>136</v>
      </c>
      <c r="B283" s="8">
        <v>2023</v>
      </c>
      <c r="C283" s="8" t="s">
        <v>95</v>
      </c>
      <c r="D283" s="8" t="s">
        <v>410</v>
      </c>
      <c r="E283" s="8" t="s">
        <v>395</v>
      </c>
      <c r="F283" s="9" t="s">
        <v>157</v>
      </c>
      <c r="G283" s="10"/>
    </row>
    <row r="284" spans="1:7" ht="22.35">
      <c r="A284" s="8" t="s">
        <v>136</v>
      </c>
      <c r="B284" s="8">
        <v>2023</v>
      </c>
      <c r="C284" s="8" t="s">
        <v>40</v>
      </c>
      <c r="D284" s="8" t="s">
        <v>394</v>
      </c>
      <c r="E284" s="8" t="s">
        <v>398</v>
      </c>
      <c r="F284" s="15" t="s">
        <v>265</v>
      </c>
      <c r="G284" s="10" t="s">
        <v>399</v>
      </c>
    </row>
    <row r="285" spans="1:7">
      <c r="A285" s="8" t="s">
        <v>136</v>
      </c>
      <c r="B285" s="8">
        <v>2024</v>
      </c>
      <c r="C285" s="8" t="s">
        <v>21</v>
      </c>
      <c r="D285" s="8" t="s">
        <v>411</v>
      </c>
      <c r="E285" s="8" t="s">
        <v>395</v>
      </c>
      <c r="F285" s="9" t="s">
        <v>157</v>
      </c>
      <c r="G285" s="10"/>
    </row>
    <row r="286" spans="1:7">
      <c r="A286" s="8" t="s">
        <v>136</v>
      </c>
      <c r="B286" s="8">
        <v>2024</v>
      </c>
      <c r="C286" s="8" t="s">
        <v>27</v>
      </c>
      <c r="D286" s="8" t="s">
        <v>411</v>
      </c>
      <c r="E286" s="8" t="s">
        <v>395</v>
      </c>
      <c r="F286" s="9" t="s">
        <v>157</v>
      </c>
      <c r="G286" s="10"/>
    </row>
    <row r="287" spans="1:7">
      <c r="A287" s="8" t="s">
        <v>136</v>
      </c>
      <c r="B287" s="8">
        <v>2024</v>
      </c>
      <c r="C287" s="8" t="s">
        <v>30</v>
      </c>
      <c r="D287" s="8" t="s">
        <v>329</v>
      </c>
      <c r="E287" s="8" t="s">
        <v>395</v>
      </c>
      <c r="F287" s="9" t="s">
        <v>157</v>
      </c>
      <c r="G287" s="10"/>
    </row>
    <row r="288" spans="1:7">
      <c r="A288" s="8" t="s">
        <v>136</v>
      </c>
      <c r="B288" s="8">
        <v>2024</v>
      </c>
      <c r="C288" s="8" t="s">
        <v>33</v>
      </c>
      <c r="D288" s="8" t="s">
        <v>192</v>
      </c>
      <c r="E288" s="8" t="s">
        <v>395</v>
      </c>
      <c r="F288" s="9" t="s">
        <v>157</v>
      </c>
      <c r="G288" s="10"/>
    </row>
    <row r="289" spans="1:7">
      <c r="A289" s="8" t="s">
        <v>136</v>
      </c>
      <c r="B289" s="8">
        <v>2024</v>
      </c>
      <c r="C289" s="8" t="s">
        <v>37</v>
      </c>
      <c r="D289" s="8" t="s">
        <v>192</v>
      </c>
      <c r="E289" s="8" t="s">
        <v>395</v>
      </c>
      <c r="F289" s="9" t="s">
        <v>157</v>
      </c>
      <c r="G289" s="10"/>
    </row>
    <row r="290" spans="1:7">
      <c r="A290" s="8" t="s">
        <v>136</v>
      </c>
      <c r="B290" s="8">
        <v>2024</v>
      </c>
      <c r="C290" s="8" t="s">
        <v>44</v>
      </c>
      <c r="D290" s="8" t="s">
        <v>412</v>
      </c>
      <c r="E290" s="8" t="s">
        <v>395</v>
      </c>
      <c r="F290" s="9" t="s">
        <v>157</v>
      </c>
      <c r="G290" s="10"/>
    </row>
    <row r="291" spans="1:7">
      <c r="A291" s="8" t="s">
        <v>136</v>
      </c>
      <c r="B291" s="8">
        <v>2024</v>
      </c>
      <c r="C291" s="8" t="s">
        <v>162</v>
      </c>
      <c r="D291" s="8" t="s">
        <v>413</v>
      </c>
      <c r="E291" s="8" t="s">
        <v>395</v>
      </c>
      <c r="F291" s="9" t="s">
        <v>157</v>
      </c>
      <c r="G291" s="10"/>
    </row>
    <row r="292" spans="1:7">
      <c r="A292" s="8" t="s">
        <v>136</v>
      </c>
      <c r="B292" s="8">
        <v>2024</v>
      </c>
      <c r="C292" s="8" t="s">
        <v>165</v>
      </c>
      <c r="D292" s="8" t="s">
        <v>413</v>
      </c>
      <c r="E292" s="8" t="s">
        <v>395</v>
      </c>
      <c r="F292" s="9" t="s">
        <v>157</v>
      </c>
      <c r="G292" s="10"/>
    </row>
    <row r="293" spans="1:7">
      <c r="A293" s="8" t="s">
        <v>136</v>
      </c>
      <c r="B293" s="8">
        <v>2024</v>
      </c>
      <c r="C293" s="8" t="s">
        <v>63</v>
      </c>
      <c r="D293" s="8" t="s">
        <v>414</v>
      </c>
      <c r="E293" s="8" t="s">
        <v>395</v>
      </c>
      <c r="F293" s="9" t="s">
        <v>157</v>
      </c>
      <c r="G293" s="10"/>
    </row>
    <row r="294" spans="1:7">
      <c r="A294" s="8" t="s">
        <v>136</v>
      </c>
      <c r="B294" s="8">
        <v>2024</v>
      </c>
      <c r="C294" s="8" t="s">
        <v>167</v>
      </c>
      <c r="D294" s="8" t="s">
        <v>415</v>
      </c>
      <c r="E294" s="8" t="s">
        <v>395</v>
      </c>
      <c r="F294" s="9" t="s">
        <v>157</v>
      </c>
      <c r="G294" s="10"/>
    </row>
    <row r="295" spans="1:7">
      <c r="A295" s="8" t="s">
        <v>136</v>
      </c>
      <c r="B295" s="8">
        <v>2024</v>
      </c>
      <c r="C295" s="8" t="s">
        <v>78</v>
      </c>
      <c r="D295" s="8" t="s">
        <v>221</v>
      </c>
      <c r="E295" s="8" t="s">
        <v>395</v>
      </c>
      <c r="F295" s="9" t="s">
        <v>157</v>
      </c>
      <c r="G295" s="10"/>
    </row>
    <row r="296" spans="1:7">
      <c r="A296" s="8" t="s">
        <v>136</v>
      </c>
      <c r="B296" s="8">
        <v>2024</v>
      </c>
      <c r="C296" s="8" t="s">
        <v>95</v>
      </c>
      <c r="D296" s="8" t="s">
        <v>416</v>
      </c>
      <c r="E296" s="8" t="s">
        <v>395</v>
      </c>
      <c r="F296" s="9" t="s">
        <v>157</v>
      </c>
      <c r="G296" s="10"/>
    </row>
    <row r="297" spans="1:7" ht="22.35">
      <c r="A297" s="8" t="s">
        <v>136</v>
      </c>
      <c r="B297" s="8">
        <v>2024</v>
      </c>
      <c r="C297" s="8" t="s">
        <v>40</v>
      </c>
      <c r="D297" s="8" t="s">
        <v>192</v>
      </c>
      <c r="E297" s="8" t="s">
        <v>398</v>
      </c>
      <c r="F297" s="15" t="s">
        <v>265</v>
      </c>
      <c r="G297" s="10" t="s">
        <v>399</v>
      </c>
    </row>
    <row r="298" spans="1:7" ht="22.35">
      <c r="A298" s="8" t="s">
        <v>136</v>
      </c>
      <c r="B298" s="8">
        <v>2024</v>
      </c>
      <c r="C298" s="8" t="s">
        <v>59</v>
      </c>
      <c r="D298" s="8" t="s">
        <v>413</v>
      </c>
      <c r="E298" s="8" t="s">
        <v>400</v>
      </c>
      <c r="F298" s="9" t="s">
        <v>157</v>
      </c>
      <c r="G298" s="10" t="s">
        <v>401</v>
      </c>
    </row>
    <row r="299" spans="1:7">
      <c r="A299" s="8" t="s">
        <v>136</v>
      </c>
      <c r="B299" s="8">
        <v>2025</v>
      </c>
      <c r="C299" s="8" t="s">
        <v>21</v>
      </c>
      <c r="D299" s="8" t="s">
        <v>417</v>
      </c>
      <c r="E299" s="8" t="s">
        <v>395</v>
      </c>
      <c r="F299" s="9" t="s">
        <v>157</v>
      </c>
      <c r="G299" s="10"/>
    </row>
    <row r="300" spans="1:7">
      <c r="A300" s="8" t="s">
        <v>136</v>
      </c>
      <c r="B300" s="8">
        <v>2025</v>
      </c>
      <c r="C300" s="8" t="s">
        <v>27</v>
      </c>
      <c r="D300" s="8" t="s">
        <v>417</v>
      </c>
      <c r="E300" s="8" t="s">
        <v>395</v>
      </c>
      <c r="F300" s="9" t="s">
        <v>157</v>
      </c>
      <c r="G300" s="10"/>
    </row>
    <row r="301" spans="1:7">
      <c r="A301" s="8" t="s">
        <v>136</v>
      </c>
      <c r="B301" s="8">
        <v>2025</v>
      </c>
      <c r="C301" s="8" t="s">
        <v>30</v>
      </c>
      <c r="D301" s="8" t="s">
        <v>329</v>
      </c>
      <c r="E301" s="8" t="s">
        <v>395</v>
      </c>
      <c r="F301" s="9" t="s">
        <v>157</v>
      </c>
      <c r="G301" s="10"/>
    </row>
    <row r="302" spans="1:7">
      <c r="A302" s="8" t="s">
        <v>136</v>
      </c>
      <c r="B302" s="8">
        <v>2025</v>
      </c>
      <c r="C302" s="8" t="s">
        <v>33</v>
      </c>
      <c r="D302" s="8" t="s">
        <v>192</v>
      </c>
      <c r="E302" s="8" t="s">
        <v>395</v>
      </c>
      <c r="F302" s="9" t="s">
        <v>157</v>
      </c>
      <c r="G302" s="10"/>
    </row>
    <row r="303" spans="1:7">
      <c r="A303" s="8" t="s">
        <v>136</v>
      </c>
      <c r="B303" s="8">
        <v>2025</v>
      </c>
      <c r="C303" s="8" t="s">
        <v>37</v>
      </c>
      <c r="D303" s="8" t="s">
        <v>192</v>
      </c>
      <c r="E303" s="8" t="s">
        <v>395</v>
      </c>
      <c r="F303" s="9" t="s">
        <v>157</v>
      </c>
      <c r="G303" s="10"/>
    </row>
    <row r="304" spans="1:7">
      <c r="A304" s="8" t="s">
        <v>136</v>
      </c>
      <c r="B304" s="8">
        <v>2025</v>
      </c>
      <c r="C304" s="8" t="s">
        <v>44</v>
      </c>
      <c r="D304" s="8" t="s">
        <v>329</v>
      </c>
      <c r="E304" s="8" t="s">
        <v>395</v>
      </c>
      <c r="F304" s="9" t="s">
        <v>157</v>
      </c>
      <c r="G304" s="10"/>
    </row>
    <row r="305" spans="1:7">
      <c r="A305" s="8" t="s">
        <v>136</v>
      </c>
      <c r="B305" s="8">
        <v>2025</v>
      </c>
      <c r="C305" s="8" t="s">
        <v>162</v>
      </c>
      <c r="D305" s="8" t="s">
        <v>418</v>
      </c>
      <c r="E305" s="8" t="s">
        <v>395</v>
      </c>
      <c r="F305" s="9" t="s">
        <v>157</v>
      </c>
      <c r="G305" s="10"/>
    </row>
    <row r="306" spans="1:7">
      <c r="A306" s="8" t="s">
        <v>136</v>
      </c>
      <c r="B306" s="8">
        <v>2025</v>
      </c>
      <c r="C306" s="8" t="s">
        <v>165</v>
      </c>
      <c r="D306" s="8" t="s">
        <v>418</v>
      </c>
      <c r="E306" s="8" t="s">
        <v>395</v>
      </c>
      <c r="F306" s="9" t="s">
        <v>157</v>
      </c>
      <c r="G306" s="10"/>
    </row>
    <row r="307" spans="1:7">
      <c r="A307" s="8" t="s">
        <v>136</v>
      </c>
      <c r="B307" s="8">
        <v>2025</v>
      </c>
      <c r="C307" s="8" t="s">
        <v>63</v>
      </c>
      <c r="D307" s="8" t="s">
        <v>419</v>
      </c>
      <c r="E307" s="8" t="s">
        <v>395</v>
      </c>
      <c r="F307" s="9" t="s">
        <v>157</v>
      </c>
      <c r="G307" s="10"/>
    </row>
    <row r="308" spans="1:7">
      <c r="A308" s="8" t="s">
        <v>136</v>
      </c>
      <c r="B308" s="8">
        <v>2025</v>
      </c>
      <c r="C308" s="8" t="s">
        <v>167</v>
      </c>
      <c r="D308" s="8" t="s">
        <v>158</v>
      </c>
      <c r="E308" s="8" t="s">
        <v>395</v>
      </c>
      <c r="F308" s="9" t="s">
        <v>157</v>
      </c>
      <c r="G308" s="10"/>
    </row>
    <row r="309" spans="1:7">
      <c r="A309" s="8" t="s">
        <v>136</v>
      </c>
      <c r="B309" s="8">
        <v>2025</v>
      </c>
      <c r="C309" s="8" t="s">
        <v>78</v>
      </c>
      <c r="D309" s="8" t="s">
        <v>386</v>
      </c>
      <c r="E309" s="8" t="s">
        <v>395</v>
      </c>
      <c r="F309" s="9" t="s">
        <v>157</v>
      </c>
      <c r="G309" s="10"/>
    </row>
    <row r="310" spans="1:7">
      <c r="A310" s="8" t="s">
        <v>136</v>
      </c>
      <c r="B310" s="8">
        <v>2025</v>
      </c>
      <c r="C310" s="8" t="s">
        <v>95</v>
      </c>
      <c r="D310" s="8" t="s">
        <v>351</v>
      </c>
      <c r="E310" s="8" t="s">
        <v>395</v>
      </c>
      <c r="F310" s="9" t="s">
        <v>157</v>
      </c>
      <c r="G310" s="10"/>
    </row>
    <row r="311" spans="1:7" ht="22.35">
      <c r="A311" s="8" t="s">
        <v>136</v>
      </c>
      <c r="B311" s="8">
        <v>2025</v>
      </c>
      <c r="C311" s="8" t="s">
        <v>40</v>
      </c>
      <c r="D311" s="8" t="s">
        <v>192</v>
      </c>
      <c r="E311" s="8" t="s">
        <v>398</v>
      </c>
      <c r="F311" s="15" t="s">
        <v>265</v>
      </c>
      <c r="G311" s="10" t="s">
        <v>399</v>
      </c>
    </row>
    <row r="312" spans="1:7" ht="22.35">
      <c r="A312" s="8" t="s">
        <v>136</v>
      </c>
      <c r="B312" s="8">
        <v>2025</v>
      </c>
      <c r="C312" s="8" t="s">
        <v>59</v>
      </c>
      <c r="D312" s="8" t="s">
        <v>418</v>
      </c>
      <c r="E312" s="8" t="s">
        <v>400</v>
      </c>
      <c r="F312" s="9" t="s">
        <v>157</v>
      </c>
      <c r="G312" s="10" t="s">
        <v>401</v>
      </c>
    </row>
    <row r="313" spans="1:7">
      <c r="A313" s="8" t="s">
        <v>136</v>
      </c>
      <c r="B313" s="8">
        <v>2021</v>
      </c>
      <c r="C313" s="8" t="s">
        <v>74</v>
      </c>
      <c r="D313" s="8" t="s">
        <v>397</v>
      </c>
      <c r="E313" s="8" t="s">
        <v>420</v>
      </c>
      <c r="F313" s="9" t="s">
        <v>157</v>
      </c>
      <c r="G313" s="10" t="s">
        <v>421</v>
      </c>
    </row>
    <row r="314" spans="1:7">
      <c r="A314" s="8" t="s">
        <v>136</v>
      </c>
      <c r="B314" s="8">
        <v>2022</v>
      </c>
      <c r="C314" s="8" t="s">
        <v>74</v>
      </c>
      <c r="D314" s="8" t="s">
        <v>221</v>
      </c>
      <c r="E314" s="8" t="s">
        <v>422</v>
      </c>
      <c r="F314" s="9" t="s">
        <v>157</v>
      </c>
      <c r="G314" s="10"/>
    </row>
    <row r="315" spans="1:7">
      <c r="A315" s="8" t="s">
        <v>136</v>
      </c>
      <c r="B315" s="8">
        <v>2023</v>
      </c>
      <c r="C315" s="8" t="s">
        <v>74</v>
      </c>
      <c r="D315" s="8" t="s">
        <v>160</v>
      </c>
      <c r="E315" s="8" t="s">
        <v>423</v>
      </c>
      <c r="F315" s="9" t="s">
        <v>157</v>
      </c>
      <c r="G315" s="10"/>
    </row>
    <row r="316" spans="1:7">
      <c r="A316" s="8" t="s">
        <v>136</v>
      </c>
      <c r="B316" s="8">
        <v>2024</v>
      </c>
      <c r="C316" s="8" t="s">
        <v>74</v>
      </c>
      <c r="D316" s="8" t="s">
        <v>424</v>
      </c>
      <c r="E316" s="8" t="s">
        <v>425</v>
      </c>
      <c r="F316" s="9" t="s">
        <v>157</v>
      </c>
      <c r="G316" s="10"/>
    </row>
    <row r="317" spans="1:7">
      <c r="A317" s="8" t="s">
        <v>136</v>
      </c>
      <c r="B317" s="8">
        <v>2025</v>
      </c>
      <c r="C317" s="8" t="s">
        <v>74</v>
      </c>
      <c r="D317" s="8" t="s">
        <v>426</v>
      </c>
      <c r="E317" s="8" t="s">
        <v>427</v>
      </c>
      <c r="F317" s="9" t="s">
        <v>157</v>
      </c>
      <c r="G317" s="10" t="s">
        <v>303</v>
      </c>
    </row>
    <row r="318" spans="1:7" ht="22.35">
      <c r="A318" s="8" t="s">
        <v>136</v>
      </c>
      <c r="B318" s="8">
        <v>2021</v>
      </c>
      <c r="C318" s="8" t="s">
        <v>84</v>
      </c>
      <c r="D318" s="8" t="s">
        <v>428</v>
      </c>
      <c r="E318" s="8" t="s">
        <v>429</v>
      </c>
      <c r="F318" s="9" t="s">
        <v>157</v>
      </c>
      <c r="G318" s="10" t="s">
        <v>430</v>
      </c>
    </row>
    <row r="319" spans="1:7">
      <c r="A319" s="8" t="s">
        <v>136</v>
      </c>
      <c r="B319" s="8">
        <v>2022</v>
      </c>
      <c r="C319" s="8" t="s">
        <v>84</v>
      </c>
      <c r="D319" s="8" t="s">
        <v>431</v>
      </c>
      <c r="E319" s="8" t="s">
        <v>429</v>
      </c>
      <c r="F319" s="9" t="s">
        <v>157</v>
      </c>
      <c r="G319" s="10" t="s">
        <v>432</v>
      </c>
    </row>
    <row r="320" spans="1:7" ht="32.85">
      <c r="A320" s="8" t="s">
        <v>136</v>
      </c>
      <c r="B320" s="8">
        <v>2023</v>
      </c>
      <c r="C320" s="8" t="s">
        <v>84</v>
      </c>
      <c r="D320" s="8" t="s">
        <v>433</v>
      </c>
      <c r="E320" s="8" t="s">
        <v>434</v>
      </c>
      <c r="F320" s="14" t="s">
        <v>227</v>
      </c>
      <c r="G320" s="10" t="s">
        <v>435</v>
      </c>
    </row>
    <row r="321" spans="1:7" ht="22.35">
      <c r="A321" s="8" t="s">
        <v>136</v>
      </c>
      <c r="B321" s="8">
        <v>2024</v>
      </c>
      <c r="C321" s="8" t="s">
        <v>84</v>
      </c>
      <c r="D321" s="8" t="s">
        <v>436</v>
      </c>
      <c r="E321" s="8" t="s">
        <v>437</v>
      </c>
      <c r="F321" s="9" t="s">
        <v>157</v>
      </c>
      <c r="G321" s="10" t="s">
        <v>438</v>
      </c>
    </row>
    <row r="322" spans="1:7">
      <c r="A322" s="8" t="s">
        <v>136</v>
      </c>
      <c r="B322" s="8">
        <v>2025</v>
      </c>
      <c r="C322" s="8" t="s">
        <v>84</v>
      </c>
      <c r="D322" s="8" t="s">
        <v>178</v>
      </c>
      <c r="E322" s="8" t="s">
        <v>437</v>
      </c>
      <c r="F322" s="9" t="s">
        <v>157</v>
      </c>
      <c r="G322" s="10"/>
    </row>
    <row r="323" spans="1:7">
      <c r="A323" s="8" t="s">
        <v>136</v>
      </c>
      <c r="B323" s="8">
        <v>2021</v>
      </c>
      <c r="C323" s="8" t="s">
        <v>191</v>
      </c>
      <c r="D323" s="8" t="s">
        <v>439</v>
      </c>
      <c r="E323" s="8" t="s">
        <v>440</v>
      </c>
      <c r="F323" s="9" t="s">
        <v>157</v>
      </c>
      <c r="G323" s="10" t="s">
        <v>441</v>
      </c>
    </row>
    <row r="324" spans="1:7">
      <c r="A324" s="8" t="s">
        <v>136</v>
      </c>
      <c r="B324" s="8">
        <v>2022</v>
      </c>
      <c r="C324" s="8" t="s">
        <v>191</v>
      </c>
      <c r="D324" s="8" t="s">
        <v>442</v>
      </c>
      <c r="E324" s="8" t="s">
        <v>443</v>
      </c>
      <c r="F324" s="9" t="s">
        <v>157</v>
      </c>
      <c r="G324" s="10"/>
    </row>
    <row r="325" spans="1:7" ht="22.35">
      <c r="A325" s="8" t="s">
        <v>136</v>
      </c>
      <c r="B325" s="8">
        <v>2023</v>
      </c>
      <c r="C325" s="8" t="s">
        <v>191</v>
      </c>
      <c r="D325" s="8" t="s">
        <v>203</v>
      </c>
      <c r="E325" s="8" t="s">
        <v>203</v>
      </c>
      <c r="F325" s="13" t="s">
        <v>204</v>
      </c>
      <c r="G325" s="10" t="s">
        <v>444</v>
      </c>
    </row>
    <row r="326" spans="1:7">
      <c r="A326" s="8" t="s">
        <v>136</v>
      </c>
      <c r="B326" s="8">
        <v>2025</v>
      </c>
      <c r="C326" s="8" t="s">
        <v>191</v>
      </c>
      <c r="D326" s="8" t="s">
        <v>416</v>
      </c>
      <c r="E326" s="8" t="s">
        <v>445</v>
      </c>
      <c r="F326" s="9" t="s">
        <v>157</v>
      </c>
      <c r="G326" s="10" t="s">
        <v>446</v>
      </c>
    </row>
    <row r="327" spans="1:7">
      <c r="A327" s="8" t="s">
        <v>136</v>
      </c>
      <c r="B327" s="8">
        <v>2021</v>
      </c>
      <c r="C327" s="8" t="s">
        <v>55</v>
      </c>
      <c r="D327" s="8" t="s">
        <v>396</v>
      </c>
      <c r="E327" s="8" t="s">
        <v>447</v>
      </c>
      <c r="F327" s="15" t="s">
        <v>265</v>
      </c>
      <c r="G327" s="10" t="s">
        <v>448</v>
      </c>
    </row>
    <row r="328" spans="1:7" ht="53.65">
      <c r="A328" s="8" t="s">
        <v>136</v>
      </c>
      <c r="B328" s="8">
        <v>2023</v>
      </c>
      <c r="C328" s="8" t="s">
        <v>167</v>
      </c>
      <c r="D328" s="8" t="s">
        <v>160</v>
      </c>
      <c r="E328" s="8" t="s">
        <v>423</v>
      </c>
      <c r="F328" s="9" t="s">
        <v>157</v>
      </c>
      <c r="G328" s="10" t="s">
        <v>449</v>
      </c>
    </row>
    <row r="329" spans="1:7" ht="22.35">
      <c r="A329" s="8" t="s">
        <v>136</v>
      </c>
      <c r="B329" s="8">
        <v>2021</v>
      </c>
      <c r="C329" s="8" t="s">
        <v>450</v>
      </c>
      <c r="D329" s="8" t="s">
        <v>451</v>
      </c>
      <c r="E329" s="8" t="s">
        <v>452</v>
      </c>
      <c r="F329" s="9" t="s">
        <v>157</v>
      </c>
      <c r="G329" s="10" t="s">
        <v>453</v>
      </c>
    </row>
    <row r="330" spans="1:7" ht="22.35">
      <c r="A330" s="8" t="s">
        <v>136</v>
      </c>
      <c r="B330" s="8">
        <v>2022</v>
      </c>
      <c r="C330" s="8" t="s">
        <v>450</v>
      </c>
      <c r="D330" s="8" t="s">
        <v>454</v>
      </c>
      <c r="E330" s="8" t="s">
        <v>455</v>
      </c>
      <c r="F330" s="9" t="s">
        <v>157</v>
      </c>
      <c r="G330" s="10" t="s">
        <v>456</v>
      </c>
    </row>
    <row r="331" spans="1:7">
      <c r="A331" s="8" t="s">
        <v>140</v>
      </c>
      <c r="B331" s="8">
        <v>2021</v>
      </c>
      <c r="C331" s="8" t="s">
        <v>21</v>
      </c>
      <c r="D331" s="8" t="s">
        <v>329</v>
      </c>
      <c r="E331" s="8" t="s">
        <v>457</v>
      </c>
      <c r="F331" s="9" t="s">
        <v>157</v>
      </c>
      <c r="G331" s="10"/>
    </row>
    <row r="332" spans="1:7">
      <c r="A332" s="8" t="s">
        <v>140</v>
      </c>
      <c r="B332" s="8">
        <v>2021</v>
      </c>
      <c r="C332" s="8" t="s">
        <v>27</v>
      </c>
      <c r="D332" s="8" t="s">
        <v>329</v>
      </c>
      <c r="E332" s="8" t="s">
        <v>457</v>
      </c>
      <c r="F332" s="9" t="s">
        <v>157</v>
      </c>
      <c r="G332" s="10"/>
    </row>
    <row r="333" spans="1:7">
      <c r="A333" s="8" t="s">
        <v>140</v>
      </c>
      <c r="B333" s="8">
        <v>2021</v>
      </c>
      <c r="C333" s="8" t="s">
        <v>30</v>
      </c>
      <c r="D333" s="8" t="s">
        <v>329</v>
      </c>
      <c r="E333" s="8" t="s">
        <v>457</v>
      </c>
      <c r="F333" s="9" t="s">
        <v>157</v>
      </c>
      <c r="G333" s="10"/>
    </row>
    <row r="334" spans="1:7">
      <c r="A334" s="8" t="s">
        <v>140</v>
      </c>
      <c r="B334" s="8">
        <v>2021</v>
      </c>
      <c r="C334" s="8" t="s">
        <v>44</v>
      </c>
      <c r="D334" s="8" t="s">
        <v>329</v>
      </c>
      <c r="E334" s="8" t="s">
        <v>457</v>
      </c>
      <c r="F334" s="9" t="s">
        <v>157</v>
      </c>
      <c r="G334" s="10"/>
    </row>
    <row r="335" spans="1:7">
      <c r="A335" s="8" t="s">
        <v>140</v>
      </c>
      <c r="B335" s="8">
        <v>2022</v>
      </c>
      <c r="C335" s="8" t="s">
        <v>21</v>
      </c>
      <c r="D335" s="8" t="s">
        <v>361</v>
      </c>
      <c r="E335" s="8" t="s">
        <v>457</v>
      </c>
      <c r="F335" s="9" t="s">
        <v>157</v>
      </c>
      <c r="G335" s="10"/>
    </row>
    <row r="336" spans="1:7">
      <c r="A336" s="8" t="s">
        <v>140</v>
      </c>
      <c r="B336" s="8">
        <v>2022</v>
      </c>
      <c r="C336" s="8" t="s">
        <v>27</v>
      </c>
      <c r="D336" s="8" t="s">
        <v>361</v>
      </c>
      <c r="E336" s="8" t="s">
        <v>457</v>
      </c>
      <c r="F336" s="9" t="s">
        <v>157</v>
      </c>
      <c r="G336" s="10"/>
    </row>
    <row r="337" spans="1:7">
      <c r="A337" s="8" t="s">
        <v>140</v>
      </c>
      <c r="B337" s="8">
        <v>2022</v>
      </c>
      <c r="C337" s="8" t="s">
        <v>30</v>
      </c>
      <c r="D337" s="8" t="s">
        <v>361</v>
      </c>
      <c r="E337" s="8" t="s">
        <v>457</v>
      </c>
      <c r="F337" s="9" t="s">
        <v>157</v>
      </c>
      <c r="G337" s="10"/>
    </row>
    <row r="338" spans="1:7">
      <c r="A338" s="8" t="s">
        <v>140</v>
      </c>
      <c r="B338" s="8">
        <v>2022</v>
      </c>
      <c r="C338" s="8" t="s">
        <v>44</v>
      </c>
      <c r="D338" s="8" t="s">
        <v>361</v>
      </c>
      <c r="E338" s="8" t="s">
        <v>457</v>
      </c>
      <c r="F338" s="9" t="s">
        <v>157</v>
      </c>
      <c r="G338" s="10"/>
    </row>
    <row r="339" spans="1:7">
      <c r="A339" s="8" t="s">
        <v>140</v>
      </c>
      <c r="B339" s="8">
        <v>2023</v>
      </c>
      <c r="C339" s="8" t="s">
        <v>21</v>
      </c>
      <c r="D339" s="8" t="s">
        <v>458</v>
      </c>
      <c r="E339" s="8" t="s">
        <v>457</v>
      </c>
      <c r="F339" s="9" t="s">
        <v>157</v>
      </c>
      <c r="G339" s="10"/>
    </row>
    <row r="340" spans="1:7">
      <c r="A340" s="8" t="s">
        <v>140</v>
      </c>
      <c r="B340" s="8">
        <v>2023</v>
      </c>
      <c r="C340" s="8" t="s">
        <v>27</v>
      </c>
      <c r="D340" s="8" t="s">
        <v>458</v>
      </c>
      <c r="E340" s="8" t="s">
        <v>457</v>
      </c>
      <c r="F340" s="9" t="s">
        <v>157</v>
      </c>
      <c r="G340" s="10"/>
    </row>
    <row r="341" spans="1:7">
      <c r="A341" s="8" t="s">
        <v>140</v>
      </c>
      <c r="B341" s="8">
        <v>2023</v>
      </c>
      <c r="C341" s="8" t="s">
        <v>30</v>
      </c>
      <c r="D341" s="8" t="s">
        <v>458</v>
      </c>
      <c r="E341" s="8" t="s">
        <v>457</v>
      </c>
      <c r="F341" s="9" t="s">
        <v>157</v>
      </c>
      <c r="G341" s="10"/>
    </row>
    <row r="342" spans="1:7">
      <c r="A342" s="8" t="s">
        <v>140</v>
      </c>
      <c r="B342" s="8">
        <v>2023</v>
      </c>
      <c r="C342" s="8" t="s">
        <v>44</v>
      </c>
      <c r="D342" s="8" t="s">
        <v>458</v>
      </c>
      <c r="E342" s="8" t="s">
        <v>457</v>
      </c>
      <c r="F342" s="9" t="s">
        <v>157</v>
      </c>
      <c r="G342" s="10"/>
    </row>
    <row r="343" spans="1:7">
      <c r="A343" s="8" t="s">
        <v>140</v>
      </c>
      <c r="B343" s="8">
        <v>2024</v>
      </c>
      <c r="C343" s="8" t="s">
        <v>21</v>
      </c>
      <c r="D343" s="8" t="s">
        <v>459</v>
      </c>
      <c r="E343" s="8" t="s">
        <v>457</v>
      </c>
      <c r="F343" s="9" t="s">
        <v>157</v>
      </c>
      <c r="G343" s="10"/>
    </row>
    <row r="344" spans="1:7">
      <c r="A344" s="8" t="s">
        <v>140</v>
      </c>
      <c r="B344" s="8">
        <v>2024</v>
      </c>
      <c r="C344" s="8" t="s">
        <v>27</v>
      </c>
      <c r="D344" s="8" t="s">
        <v>459</v>
      </c>
      <c r="E344" s="8" t="s">
        <v>457</v>
      </c>
      <c r="F344" s="9" t="s">
        <v>157</v>
      </c>
      <c r="G344" s="10"/>
    </row>
    <row r="345" spans="1:7">
      <c r="A345" s="8" t="s">
        <v>140</v>
      </c>
      <c r="B345" s="8">
        <v>2024</v>
      </c>
      <c r="C345" s="8" t="s">
        <v>30</v>
      </c>
      <c r="D345" s="8" t="s">
        <v>459</v>
      </c>
      <c r="E345" s="8" t="s">
        <v>457</v>
      </c>
      <c r="F345" s="9" t="s">
        <v>157</v>
      </c>
      <c r="G345" s="10"/>
    </row>
    <row r="346" spans="1:7">
      <c r="A346" s="8" t="s">
        <v>140</v>
      </c>
      <c r="B346" s="8">
        <v>2024</v>
      </c>
      <c r="C346" s="8" t="s">
        <v>44</v>
      </c>
      <c r="D346" s="8" t="s">
        <v>459</v>
      </c>
      <c r="E346" s="8" t="s">
        <v>457</v>
      </c>
      <c r="F346" s="9" t="s">
        <v>157</v>
      </c>
      <c r="G346" s="10"/>
    </row>
    <row r="347" spans="1:7">
      <c r="A347" s="8" t="s">
        <v>140</v>
      </c>
      <c r="B347" s="8">
        <v>2025</v>
      </c>
      <c r="C347" s="8" t="s">
        <v>21</v>
      </c>
      <c r="D347" s="8" t="s">
        <v>439</v>
      </c>
      <c r="E347" s="8" t="s">
        <v>457</v>
      </c>
      <c r="F347" s="9" t="s">
        <v>157</v>
      </c>
      <c r="G347" s="10"/>
    </row>
    <row r="348" spans="1:7">
      <c r="A348" s="8" t="s">
        <v>140</v>
      </c>
      <c r="B348" s="8">
        <v>2025</v>
      </c>
      <c r="C348" s="8" t="s">
        <v>27</v>
      </c>
      <c r="D348" s="8" t="s">
        <v>439</v>
      </c>
      <c r="E348" s="8" t="s">
        <v>457</v>
      </c>
      <c r="F348" s="9" t="s">
        <v>157</v>
      </c>
      <c r="G348" s="10"/>
    </row>
    <row r="349" spans="1:7">
      <c r="A349" s="8" t="s">
        <v>140</v>
      </c>
      <c r="B349" s="8">
        <v>2025</v>
      </c>
      <c r="C349" s="8" t="s">
        <v>30</v>
      </c>
      <c r="D349" s="8" t="s">
        <v>439</v>
      </c>
      <c r="E349" s="8" t="s">
        <v>457</v>
      </c>
      <c r="F349" s="9" t="s">
        <v>157</v>
      </c>
      <c r="G349" s="10"/>
    </row>
    <row r="350" spans="1:7">
      <c r="A350" s="8" t="s">
        <v>140</v>
      </c>
      <c r="B350" s="8">
        <v>2025</v>
      </c>
      <c r="C350" s="8" t="s">
        <v>44</v>
      </c>
      <c r="D350" s="8" t="s">
        <v>439</v>
      </c>
      <c r="E350" s="8" t="s">
        <v>457</v>
      </c>
      <c r="F350" s="9" t="s">
        <v>157</v>
      </c>
      <c r="G350" s="10"/>
    </row>
    <row r="351" spans="1:7">
      <c r="A351" s="8" t="s">
        <v>140</v>
      </c>
      <c r="B351" s="8">
        <v>2021</v>
      </c>
      <c r="C351" s="8" t="s">
        <v>33</v>
      </c>
      <c r="D351" s="8" t="s">
        <v>329</v>
      </c>
      <c r="E351" s="8" t="s">
        <v>460</v>
      </c>
      <c r="F351" s="9" t="s">
        <v>157</v>
      </c>
      <c r="G351" s="10"/>
    </row>
    <row r="352" spans="1:7">
      <c r="A352" s="8" t="s">
        <v>140</v>
      </c>
      <c r="B352" s="8">
        <v>2021</v>
      </c>
      <c r="C352" s="8" t="s">
        <v>37</v>
      </c>
      <c r="D352" s="8" t="s">
        <v>329</v>
      </c>
      <c r="E352" s="8" t="s">
        <v>460</v>
      </c>
      <c r="F352" s="9" t="s">
        <v>157</v>
      </c>
      <c r="G352" s="10"/>
    </row>
    <row r="353" spans="1:7">
      <c r="A353" s="8" t="s">
        <v>140</v>
      </c>
      <c r="B353" s="8">
        <v>2022</v>
      </c>
      <c r="C353" s="8" t="s">
        <v>33</v>
      </c>
      <c r="D353" s="8" t="s">
        <v>461</v>
      </c>
      <c r="E353" s="8" t="s">
        <v>460</v>
      </c>
      <c r="F353" s="9" t="s">
        <v>157</v>
      </c>
      <c r="G353" s="10"/>
    </row>
    <row r="354" spans="1:7">
      <c r="A354" s="8" t="s">
        <v>140</v>
      </c>
      <c r="B354" s="8">
        <v>2022</v>
      </c>
      <c r="C354" s="8" t="s">
        <v>37</v>
      </c>
      <c r="D354" s="8" t="s">
        <v>461</v>
      </c>
      <c r="E354" s="8" t="s">
        <v>460</v>
      </c>
      <c r="F354" s="9" t="s">
        <v>157</v>
      </c>
      <c r="G354" s="10"/>
    </row>
    <row r="355" spans="1:7">
      <c r="A355" s="8" t="s">
        <v>140</v>
      </c>
      <c r="B355" s="8">
        <v>2023</v>
      </c>
      <c r="C355" s="8" t="s">
        <v>33</v>
      </c>
      <c r="D355" s="8" t="s">
        <v>190</v>
      </c>
      <c r="E355" s="8" t="s">
        <v>460</v>
      </c>
      <c r="F355" s="9" t="s">
        <v>157</v>
      </c>
      <c r="G355" s="10"/>
    </row>
    <row r="356" spans="1:7">
      <c r="A356" s="8" t="s">
        <v>140</v>
      </c>
      <c r="B356" s="8">
        <v>2023</v>
      </c>
      <c r="C356" s="8" t="s">
        <v>37</v>
      </c>
      <c r="D356" s="8" t="s">
        <v>190</v>
      </c>
      <c r="E356" s="8" t="s">
        <v>460</v>
      </c>
      <c r="F356" s="9" t="s">
        <v>157</v>
      </c>
      <c r="G356" s="10"/>
    </row>
    <row r="357" spans="1:7">
      <c r="A357" s="8" t="s">
        <v>140</v>
      </c>
      <c r="B357" s="8">
        <v>2024</v>
      </c>
      <c r="C357" s="8" t="s">
        <v>33</v>
      </c>
      <c r="D357" s="8" t="s">
        <v>462</v>
      </c>
      <c r="E357" s="8" t="s">
        <v>460</v>
      </c>
      <c r="F357" s="9" t="s">
        <v>157</v>
      </c>
      <c r="G357" s="10"/>
    </row>
    <row r="358" spans="1:7">
      <c r="A358" s="8" t="s">
        <v>140</v>
      </c>
      <c r="B358" s="8">
        <v>2024</v>
      </c>
      <c r="C358" s="8" t="s">
        <v>37</v>
      </c>
      <c r="D358" s="8" t="s">
        <v>462</v>
      </c>
      <c r="E358" s="8" t="s">
        <v>460</v>
      </c>
      <c r="F358" s="9" t="s">
        <v>157</v>
      </c>
      <c r="G358" s="10"/>
    </row>
    <row r="359" spans="1:7">
      <c r="A359" s="8" t="s">
        <v>140</v>
      </c>
      <c r="B359" s="8">
        <v>2025</v>
      </c>
      <c r="C359" s="8" t="s">
        <v>33</v>
      </c>
      <c r="D359" s="8" t="s">
        <v>459</v>
      </c>
      <c r="E359" s="8" t="s">
        <v>460</v>
      </c>
      <c r="F359" s="9" t="s">
        <v>157</v>
      </c>
      <c r="G359" s="10"/>
    </row>
    <row r="360" spans="1:7">
      <c r="A360" s="8" t="s">
        <v>140</v>
      </c>
      <c r="B360" s="8">
        <v>2025</v>
      </c>
      <c r="C360" s="8" t="s">
        <v>37</v>
      </c>
      <c r="D360" s="8" t="s">
        <v>459</v>
      </c>
      <c r="E360" s="8" t="s">
        <v>460</v>
      </c>
      <c r="F360" s="9" t="s">
        <v>157</v>
      </c>
      <c r="G360" s="10"/>
    </row>
    <row r="361" spans="1:7">
      <c r="A361" s="8" t="s">
        <v>140</v>
      </c>
      <c r="B361" s="8">
        <v>2021</v>
      </c>
      <c r="C361" s="8" t="s">
        <v>40</v>
      </c>
      <c r="D361" s="8" t="s">
        <v>329</v>
      </c>
      <c r="E361" s="8" t="s">
        <v>463</v>
      </c>
      <c r="F361" s="9" t="s">
        <v>157</v>
      </c>
      <c r="G361" s="10" t="s">
        <v>464</v>
      </c>
    </row>
    <row r="362" spans="1:7" ht="22.35">
      <c r="A362" s="8" t="s">
        <v>140</v>
      </c>
      <c r="B362" s="8">
        <v>2022</v>
      </c>
      <c r="C362" s="8" t="s">
        <v>40</v>
      </c>
      <c r="D362" s="8" t="s">
        <v>465</v>
      </c>
      <c r="E362" s="8" t="s">
        <v>463</v>
      </c>
      <c r="F362" s="9" t="s">
        <v>157</v>
      </c>
      <c r="G362" s="10" t="s">
        <v>466</v>
      </c>
    </row>
    <row r="363" spans="1:7" ht="32.85">
      <c r="A363" s="8" t="s">
        <v>140</v>
      </c>
      <c r="B363" s="8">
        <v>2023</v>
      </c>
      <c r="C363" s="8" t="s">
        <v>40</v>
      </c>
      <c r="D363" s="8" t="s">
        <v>467</v>
      </c>
      <c r="E363" s="8" t="s">
        <v>463</v>
      </c>
      <c r="F363" s="9" t="s">
        <v>157</v>
      </c>
      <c r="G363" s="10" t="s">
        <v>468</v>
      </c>
    </row>
    <row r="364" spans="1:7" ht="22.35">
      <c r="A364" s="8" t="s">
        <v>140</v>
      </c>
      <c r="B364" s="8">
        <v>2024</v>
      </c>
      <c r="C364" s="8" t="s">
        <v>40</v>
      </c>
      <c r="D364" s="8" t="s">
        <v>462</v>
      </c>
      <c r="E364" s="8" t="s">
        <v>463</v>
      </c>
      <c r="F364" s="9" t="s">
        <v>157</v>
      </c>
      <c r="G364" s="10" t="s">
        <v>469</v>
      </c>
    </row>
    <row r="365" spans="1:7" ht="22.35">
      <c r="A365" s="8" t="s">
        <v>140</v>
      </c>
      <c r="B365" s="8">
        <v>2025</v>
      </c>
      <c r="C365" s="8" t="s">
        <v>40</v>
      </c>
      <c r="D365" s="8" t="s">
        <v>470</v>
      </c>
      <c r="E365" s="8" t="s">
        <v>463</v>
      </c>
      <c r="F365" s="9" t="s">
        <v>157</v>
      </c>
      <c r="G365" s="10" t="s">
        <v>471</v>
      </c>
    </row>
    <row r="366" spans="1:7">
      <c r="A366" s="8" t="s">
        <v>140</v>
      </c>
      <c r="B366" s="8">
        <v>2021</v>
      </c>
      <c r="C366" s="8" t="s">
        <v>55</v>
      </c>
      <c r="D366" s="8" t="s">
        <v>472</v>
      </c>
      <c r="E366" s="8" t="s">
        <v>473</v>
      </c>
      <c r="F366" s="9" t="s">
        <v>157</v>
      </c>
      <c r="G366" s="10" t="s">
        <v>474</v>
      </c>
    </row>
    <row r="367" spans="1:7">
      <c r="A367" s="8" t="s">
        <v>140</v>
      </c>
      <c r="B367" s="8">
        <v>2022</v>
      </c>
      <c r="C367" s="8" t="s">
        <v>55</v>
      </c>
      <c r="D367" s="8" t="s">
        <v>475</v>
      </c>
      <c r="E367" s="8" t="s">
        <v>473</v>
      </c>
      <c r="F367" s="9" t="s">
        <v>157</v>
      </c>
      <c r="G367" s="10" t="s">
        <v>474</v>
      </c>
    </row>
    <row r="368" spans="1:7">
      <c r="A368" s="8" t="s">
        <v>140</v>
      </c>
      <c r="B368" s="8">
        <v>2023</v>
      </c>
      <c r="C368" s="8" t="s">
        <v>55</v>
      </c>
      <c r="D368" s="8" t="s">
        <v>476</v>
      </c>
      <c r="E368" s="8" t="s">
        <v>473</v>
      </c>
      <c r="F368" s="9" t="s">
        <v>157</v>
      </c>
      <c r="G368" s="10" t="s">
        <v>474</v>
      </c>
    </row>
    <row r="369" spans="1:7">
      <c r="A369" s="8" t="s">
        <v>140</v>
      </c>
      <c r="B369" s="8">
        <v>2024</v>
      </c>
      <c r="C369" s="8" t="s">
        <v>55</v>
      </c>
      <c r="D369" s="8" t="s">
        <v>477</v>
      </c>
      <c r="E369" s="8" t="s">
        <v>473</v>
      </c>
      <c r="F369" s="9" t="s">
        <v>157</v>
      </c>
      <c r="G369" s="10" t="s">
        <v>474</v>
      </c>
    </row>
    <row r="370" spans="1:7">
      <c r="A370" s="8" t="s">
        <v>140</v>
      </c>
      <c r="B370" s="8">
        <v>2025</v>
      </c>
      <c r="C370" s="8" t="s">
        <v>55</v>
      </c>
      <c r="D370" s="8" t="s">
        <v>478</v>
      </c>
      <c r="E370" s="8" t="s">
        <v>473</v>
      </c>
      <c r="F370" s="9" t="s">
        <v>157</v>
      </c>
      <c r="G370" s="10" t="s">
        <v>474</v>
      </c>
    </row>
    <row r="371" spans="1:7">
      <c r="A371" s="8" t="s">
        <v>140</v>
      </c>
      <c r="B371" s="8">
        <v>2021</v>
      </c>
      <c r="C371" s="8" t="s">
        <v>59</v>
      </c>
      <c r="D371" s="8" t="s">
        <v>479</v>
      </c>
      <c r="E371" s="8" t="s">
        <v>480</v>
      </c>
      <c r="F371" s="9" t="s">
        <v>157</v>
      </c>
      <c r="G371" s="10" t="s">
        <v>481</v>
      </c>
    </row>
    <row r="372" spans="1:7">
      <c r="A372" s="8" t="s">
        <v>140</v>
      </c>
      <c r="B372" s="8">
        <v>2022</v>
      </c>
      <c r="C372" s="8" t="s">
        <v>59</v>
      </c>
      <c r="D372" s="8" t="s">
        <v>475</v>
      </c>
      <c r="E372" s="8" t="s">
        <v>480</v>
      </c>
      <c r="F372" s="9" t="s">
        <v>157</v>
      </c>
      <c r="G372" s="10" t="s">
        <v>481</v>
      </c>
    </row>
    <row r="373" spans="1:7">
      <c r="A373" s="8" t="s">
        <v>140</v>
      </c>
      <c r="B373" s="8">
        <v>2023</v>
      </c>
      <c r="C373" s="8" t="s">
        <v>59</v>
      </c>
      <c r="D373" s="8" t="s">
        <v>476</v>
      </c>
      <c r="E373" s="8" t="s">
        <v>480</v>
      </c>
      <c r="F373" s="9" t="s">
        <v>157</v>
      </c>
      <c r="G373" s="10" t="s">
        <v>481</v>
      </c>
    </row>
    <row r="374" spans="1:7">
      <c r="A374" s="8" t="s">
        <v>140</v>
      </c>
      <c r="B374" s="8">
        <v>2024</v>
      </c>
      <c r="C374" s="8" t="s">
        <v>59</v>
      </c>
      <c r="D374" s="8" t="s">
        <v>482</v>
      </c>
      <c r="E374" s="8" t="s">
        <v>480</v>
      </c>
      <c r="F374" s="9" t="s">
        <v>157</v>
      </c>
      <c r="G374" s="10" t="s">
        <v>481</v>
      </c>
    </row>
    <row r="375" spans="1:7">
      <c r="A375" s="8" t="s">
        <v>140</v>
      </c>
      <c r="B375" s="8">
        <v>2025</v>
      </c>
      <c r="C375" s="8" t="s">
        <v>59</v>
      </c>
      <c r="D375" s="8" t="s">
        <v>483</v>
      </c>
      <c r="E375" s="8" t="s">
        <v>480</v>
      </c>
      <c r="F375" s="9" t="s">
        <v>157</v>
      </c>
      <c r="G375" s="10" t="s">
        <v>481</v>
      </c>
    </row>
    <row r="376" spans="1:7">
      <c r="A376" s="8" t="s">
        <v>140</v>
      </c>
      <c r="B376" s="8">
        <v>2021</v>
      </c>
      <c r="C376" s="8" t="s">
        <v>63</v>
      </c>
      <c r="D376" s="8" t="s">
        <v>479</v>
      </c>
      <c r="E376" s="8" t="s">
        <v>484</v>
      </c>
      <c r="F376" s="9" t="s">
        <v>157</v>
      </c>
      <c r="G376" s="10"/>
    </row>
    <row r="377" spans="1:7">
      <c r="A377" s="8" t="s">
        <v>140</v>
      </c>
      <c r="B377" s="8">
        <v>2022</v>
      </c>
      <c r="C377" s="8" t="s">
        <v>63</v>
      </c>
      <c r="D377" s="8" t="s">
        <v>485</v>
      </c>
      <c r="E377" s="8" t="s">
        <v>484</v>
      </c>
      <c r="F377" s="9" t="s">
        <v>157</v>
      </c>
      <c r="G377" s="10"/>
    </row>
    <row r="378" spans="1:7">
      <c r="A378" s="8" t="s">
        <v>140</v>
      </c>
      <c r="B378" s="8">
        <v>2023</v>
      </c>
      <c r="C378" s="8" t="s">
        <v>63</v>
      </c>
      <c r="D378" s="8" t="s">
        <v>241</v>
      </c>
      <c r="E378" s="8" t="s">
        <v>484</v>
      </c>
      <c r="F378" s="9" t="s">
        <v>157</v>
      </c>
      <c r="G378" s="10"/>
    </row>
    <row r="379" spans="1:7">
      <c r="A379" s="8" t="s">
        <v>140</v>
      </c>
      <c r="B379" s="8">
        <v>2024</v>
      </c>
      <c r="C379" s="8" t="s">
        <v>63</v>
      </c>
      <c r="D379" s="8" t="s">
        <v>234</v>
      </c>
      <c r="E379" s="8" t="s">
        <v>484</v>
      </c>
      <c r="F379" s="9" t="s">
        <v>157</v>
      </c>
      <c r="G379" s="10"/>
    </row>
    <row r="380" spans="1:7">
      <c r="A380" s="8" t="s">
        <v>140</v>
      </c>
      <c r="B380" s="8">
        <v>2025</v>
      </c>
      <c r="C380" s="8" t="s">
        <v>63</v>
      </c>
      <c r="D380" s="8" t="s">
        <v>267</v>
      </c>
      <c r="E380" s="8" t="s">
        <v>484</v>
      </c>
      <c r="F380" s="9" t="s">
        <v>157</v>
      </c>
      <c r="G380" s="10"/>
    </row>
    <row r="381" spans="1:7">
      <c r="A381" s="8" t="s">
        <v>140</v>
      </c>
      <c r="B381" s="8">
        <v>2021</v>
      </c>
      <c r="C381" s="8" t="s">
        <v>167</v>
      </c>
      <c r="D381" s="8" t="s">
        <v>486</v>
      </c>
      <c r="E381" s="8" t="s">
        <v>487</v>
      </c>
      <c r="F381" s="9" t="s">
        <v>157</v>
      </c>
      <c r="G381" s="10"/>
    </row>
    <row r="382" spans="1:7">
      <c r="A382" s="8" t="s">
        <v>140</v>
      </c>
      <c r="B382" s="8">
        <v>2022</v>
      </c>
      <c r="C382" s="8" t="s">
        <v>167</v>
      </c>
      <c r="D382" s="8" t="s">
        <v>488</v>
      </c>
      <c r="E382" s="8" t="s">
        <v>487</v>
      </c>
      <c r="F382" s="9" t="s">
        <v>157</v>
      </c>
      <c r="G382" s="10"/>
    </row>
    <row r="383" spans="1:7">
      <c r="A383" s="8" t="s">
        <v>140</v>
      </c>
      <c r="B383" s="8">
        <v>2023</v>
      </c>
      <c r="C383" s="8" t="s">
        <v>167</v>
      </c>
      <c r="D383" s="8" t="s">
        <v>489</v>
      </c>
      <c r="E383" s="8" t="s">
        <v>487</v>
      </c>
      <c r="F383" s="9" t="s">
        <v>157</v>
      </c>
      <c r="G383" s="10"/>
    </row>
    <row r="384" spans="1:7">
      <c r="A384" s="8" t="s">
        <v>140</v>
      </c>
      <c r="B384" s="8">
        <v>2024</v>
      </c>
      <c r="C384" s="8" t="s">
        <v>167</v>
      </c>
      <c r="D384" s="8" t="s">
        <v>490</v>
      </c>
      <c r="E384" s="8" t="s">
        <v>487</v>
      </c>
      <c r="F384" s="9" t="s">
        <v>157</v>
      </c>
      <c r="G384" s="10"/>
    </row>
    <row r="385" spans="1:7">
      <c r="A385" s="8" t="s">
        <v>140</v>
      </c>
      <c r="B385" s="8">
        <v>2025</v>
      </c>
      <c r="C385" s="8" t="s">
        <v>167</v>
      </c>
      <c r="D385" s="8" t="s">
        <v>491</v>
      </c>
      <c r="E385" s="8" t="s">
        <v>487</v>
      </c>
      <c r="F385" s="9" t="s">
        <v>157</v>
      </c>
      <c r="G385" s="10"/>
    </row>
    <row r="386" spans="1:7">
      <c r="A386" s="8" t="s">
        <v>140</v>
      </c>
      <c r="B386" s="8">
        <v>2021</v>
      </c>
      <c r="C386" s="8" t="s">
        <v>74</v>
      </c>
      <c r="D386" s="8" t="s">
        <v>279</v>
      </c>
      <c r="E386" s="8" t="s">
        <v>492</v>
      </c>
      <c r="F386" s="9" t="s">
        <v>157</v>
      </c>
      <c r="G386" s="10" t="s">
        <v>493</v>
      </c>
    </row>
    <row r="387" spans="1:7">
      <c r="A387" s="8" t="s">
        <v>140</v>
      </c>
      <c r="B387" s="8">
        <v>2022</v>
      </c>
      <c r="C387" s="8" t="s">
        <v>74</v>
      </c>
      <c r="D387" s="8" t="s">
        <v>494</v>
      </c>
      <c r="E387" s="8" t="s">
        <v>495</v>
      </c>
      <c r="F387" s="9" t="s">
        <v>157</v>
      </c>
      <c r="G387" s="10"/>
    </row>
    <row r="388" spans="1:7">
      <c r="A388" s="8" t="s">
        <v>140</v>
      </c>
      <c r="B388" s="8">
        <v>2023</v>
      </c>
      <c r="C388" s="8" t="s">
        <v>74</v>
      </c>
      <c r="D388" s="8" t="s">
        <v>258</v>
      </c>
      <c r="E388" s="8" t="s">
        <v>496</v>
      </c>
      <c r="F388" s="9" t="s">
        <v>157</v>
      </c>
      <c r="G388" s="10"/>
    </row>
    <row r="389" spans="1:7" ht="32.85">
      <c r="A389" s="8" t="s">
        <v>140</v>
      </c>
      <c r="B389" s="8">
        <v>2024</v>
      </c>
      <c r="C389" s="8" t="s">
        <v>74</v>
      </c>
      <c r="D389" s="8" t="s">
        <v>497</v>
      </c>
      <c r="E389" s="8" t="s">
        <v>495</v>
      </c>
      <c r="F389" s="9" t="s">
        <v>157</v>
      </c>
      <c r="G389" s="10" t="s">
        <v>498</v>
      </c>
    </row>
    <row r="390" spans="1:7">
      <c r="A390" s="8" t="s">
        <v>140</v>
      </c>
      <c r="B390" s="8">
        <v>2025</v>
      </c>
      <c r="C390" s="8" t="s">
        <v>74</v>
      </c>
      <c r="D390" s="8" t="s">
        <v>442</v>
      </c>
      <c r="E390" s="8" t="s">
        <v>496</v>
      </c>
      <c r="F390" s="9" t="s">
        <v>157</v>
      </c>
      <c r="G390" s="10" t="s">
        <v>499</v>
      </c>
    </row>
    <row r="391" spans="1:7">
      <c r="A391" s="8" t="s">
        <v>140</v>
      </c>
      <c r="B391" s="8">
        <v>2021</v>
      </c>
      <c r="C391" s="8" t="s">
        <v>78</v>
      </c>
      <c r="D391" s="8" t="s">
        <v>500</v>
      </c>
      <c r="E391" s="8" t="s">
        <v>501</v>
      </c>
      <c r="F391" s="9" t="s">
        <v>157</v>
      </c>
      <c r="G391" s="10"/>
    </row>
    <row r="392" spans="1:7">
      <c r="A392" s="8" t="s">
        <v>140</v>
      </c>
      <c r="B392" s="8">
        <v>2022</v>
      </c>
      <c r="C392" s="8" t="s">
        <v>78</v>
      </c>
      <c r="D392" s="8" t="s">
        <v>502</v>
      </c>
      <c r="E392" s="8" t="s">
        <v>501</v>
      </c>
      <c r="F392" s="9" t="s">
        <v>157</v>
      </c>
      <c r="G392" s="10"/>
    </row>
    <row r="393" spans="1:7">
      <c r="A393" s="8" t="s">
        <v>140</v>
      </c>
      <c r="B393" s="8">
        <v>2023</v>
      </c>
      <c r="C393" s="8" t="s">
        <v>78</v>
      </c>
      <c r="D393" s="8" t="s">
        <v>503</v>
      </c>
      <c r="E393" s="8" t="s">
        <v>501</v>
      </c>
      <c r="F393" s="9" t="s">
        <v>157</v>
      </c>
      <c r="G393" s="10"/>
    </row>
    <row r="394" spans="1:7">
      <c r="A394" s="8" t="s">
        <v>140</v>
      </c>
      <c r="B394" s="8">
        <v>2024</v>
      </c>
      <c r="C394" s="8" t="s">
        <v>78</v>
      </c>
      <c r="D394" s="8" t="s">
        <v>236</v>
      </c>
      <c r="E394" s="8" t="s">
        <v>501</v>
      </c>
      <c r="F394" s="9" t="s">
        <v>157</v>
      </c>
      <c r="G394" s="10"/>
    </row>
    <row r="395" spans="1:7">
      <c r="A395" s="8" t="s">
        <v>140</v>
      </c>
      <c r="B395" s="8">
        <v>2025</v>
      </c>
      <c r="C395" s="8" t="s">
        <v>78</v>
      </c>
      <c r="D395" s="8" t="s">
        <v>346</v>
      </c>
      <c r="E395" s="8" t="s">
        <v>501</v>
      </c>
      <c r="F395" s="9" t="s">
        <v>157</v>
      </c>
      <c r="G395" s="10"/>
    </row>
    <row r="396" spans="1:7">
      <c r="A396" s="8" t="s">
        <v>140</v>
      </c>
      <c r="B396" s="8">
        <v>2021</v>
      </c>
      <c r="C396" s="8" t="s">
        <v>84</v>
      </c>
      <c r="D396" s="8" t="s">
        <v>305</v>
      </c>
      <c r="E396" s="8" t="s">
        <v>504</v>
      </c>
      <c r="F396" s="9" t="s">
        <v>157</v>
      </c>
      <c r="G396" s="10"/>
    </row>
    <row r="397" spans="1:7">
      <c r="A397" s="8" t="s">
        <v>140</v>
      </c>
      <c r="B397" s="8">
        <v>2022</v>
      </c>
      <c r="C397" s="8" t="s">
        <v>84</v>
      </c>
      <c r="D397" s="8" t="s">
        <v>442</v>
      </c>
      <c r="E397" s="8" t="s">
        <v>505</v>
      </c>
      <c r="F397" s="9" t="s">
        <v>157</v>
      </c>
      <c r="G397" s="10"/>
    </row>
    <row r="398" spans="1:7">
      <c r="A398" s="8" t="s">
        <v>140</v>
      </c>
      <c r="B398" s="8">
        <v>2023</v>
      </c>
      <c r="C398" s="8" t="s">
        <v>84</v>
      </c>
      <c r="D398" s="8" t="s">
        <v>415</v>
      </c>
      <c r="E398" s="8" t="s">
        <v>505</v>
      </c>
      <c r="F398" s="9" t="s">
        <v>157</v>
      </c>
      <c r="G398" s="10"/>
    </row>
    <row r="399" spans="1:7" ht="53.65">
      <c r="A399" s="8" t="s">
        <v>140</v>
      </c>
      <c r="B399" s="8">
        <v>2024</v>
      </c>
      <c r="C399" s="8" t="s">
        <v>84</v>
      </c>
      <c r="D399" s="8" t="s">
        <v>506</v>
      </c>
      <c r="E399" s="8" t="s">
        <v>507</v>
      </c>
      <c r="F399" s="14" t="s">
        <v>227</v>
      </c>
      <c r="G399" s="10" t="s">
        <v>508</v>
      </c>
    </row>
    <row r="400" spans="1:7">
      <c r="A400" s="8" t="s">
        <v>140</v>
      </c>
      <c r="B400" s="8">
        <v>2025</v>
      </c>
      <c r="C400" s="8" t="s">
        <v>84</v>
      </c>
      <c r="D400" s="8" t="s">
        <v>509</v>
      </c>
      <c r="E400" s="8" t="s">
        <v>505</v>
      </c>
      <c r="F400" s="9" t="s">
        <v>157</v>
      </c>
      <c r="G400" s="10"/>
    </row>
    <row r="401" spans="1:7" ht="22.35">
      <c r="A401" s="8" t="s">
        <v>140</v>
      </c>
      <c r="B401" s="8">
        <v>2021</v>
      </c>
      <c r="C401" s="8" t="s">
        <v>191</v>
      </c>
      <c r="D401" s="8" t="s">
        <v>510</v>
      </c>
      <c r="E401" s="8" t="s">
        <v>511</v>
      </c>
      <c r="F401" s="9" t="s">
        <v>157</v>
      </c>
      <c r="G401" s="10" t="s">
        <v>512</v>
      </c>
    </row>
    <row r="402" spans="1:7">
      <c r="A402" s="8" t="s">
        <v>140</v>
      </c>
      <c r="B402" s="8">
        <v>2021</v>
      </c>
      <c r="C402" s="8" t="s">
        <v>95</v>
      </c>
      <c r="D402" s="8" t="s">
        <v>513</v>
      </c>
      <c r="E402" s="8" t="s">
        <v>514</v>
      </c>
      <c r="F402" s="9" t="s">
        <v>157</v>
      </c>
      <c r="G402" s="10"/>
    </row>
    <row r="403" spans="1:7">
      <c r="A403" s="8" t="s">
        <v>140</v>
      </c>
      <c r="B403" s="8">
        <v>2022</v>
      </c>
      <c r="C403" s="8" t="s">
        <v>95</v>
      </c>
      <c r="D403" s="8" t="s">
        <v>515</v>
      </c>
      <c r="E403" s="8" t="s">
        <v>514</v>
      </c>
      <c r="F403" s="9" t="s">
        <v>157</v>
      </c>
      <c r="G403" s="10"/>
    </row>
    <row r="404" spans="1:7">
      <c r="A404" s="8" t="s">
        <v>140</v>
      </c>
      <c r="B404" s="8">
        <v>2023</v>
      </c>
      <c r="C404" s="8" t="s">
        <v>95</v>
      </c>
      <c r="D404" s="8" t="s">
        <v>516</v>
      </c>
      <c r="E404" s="8" t="s">
        <v>514</v>
      </c>
      <c r="F404" s="9" t="s">
        <v>157</v>
      </c>
      <c r="G404" s="10"/>
    </row>
    <row r="405" spans="1:7" ht="43.35">
      <c r="A405" s="8" t="s">
        <v>140</v>
      </c>
      <c r="B405" s="8">
        <v>2024</v>
      </c>
      <c r="C405" s="8" t="s">
        <v>95</v>
      </c>
      <c r="D405" s="8" t="s">
        <v>517</v>
      </c>
      <c r="E405" s="8" t="s">
        <v>514</v>
      </c>
      <c r="F405" s="9" t="s">
        <v>157</v>
      </c>
      <c r="G405" s="10" t="s">
        <v>518</v>
      </c>
    </row>
    <row r="406" spans="1:7">
      <c r="A406" s="8" t="s">
        <v>140</v>
      </c>
      <c r="B406" s="8">
        <v>2025</v>
      </c>
      <c r="C406" s="8" t="s">
        <v>95</v>
      </c>
      <c r="D406" s="8" t="s">
        <v>519</v>
      </c>
      <c r="E406" s="8" t="s">
        <v>514</v>
      </c>
      <c r="F406" s="9" t="s">
        <v>157</v>
      </c>
      <c r="G406" s="10"/>
    </row>
    <row r="407" spans="1:7" ht="32.85">
      <c r="A407" s="8" t="s">
        <v>140</v>
      </c>
      <c r="B407" s="8">
        <v>2021</v>
      </c>
      <c r="C407" s="8" t="s">
        <v>49</v>
      </c>
      <c r="D407" s="8" t="s">
        <v>203</v>
      </c>
      <c r="E407" s="8" t="s">
        <v>203</v>
      </c>
      <c r="F407" s="13" t="s">
        <v>204</v>
      </c>
      <c r="G407" s="10" t="s">
        <v>520</v>
      </c>
    </row>
    <row r="408" spans="1:7" ht="32.85">
      <c r="A408" s="8" t="s">
        <v>140</v>
      </c>
      <c r="B408" s="8">
        <v>2022</v>
      </c>
      <c r="C408" s="8" t="s">
        <v>49</v>
      </c>
      <c r="D408" s="8" t="s">
        <v>203</v>
      </c>
      <c r="E408" s="8" t="s">
        <v>203</v>
      </c>
      <c r="F408" s="13" t="s">
        <v>204</v>
      </c>
      <c r="G408" s="10" t="s">
        <v>520</v>
      </c>
    </row>
    <row r="409" spans="1:7" ht="32.85">
      <c r="A409" s="8" t="s">
        <v>140</v>
      </c>
      <c r="B409" s="8">
        <v>2023</v>
      </c>
      <c r="C409" s="8" t="s">
        <v>49</v>
      </c>
      <c r="D409" s="8" t="s">
        <v>203</v>
      </c>
      <c r="E409" s="8" t="s">
        <v>203</v>
      </c>
      <c r="F409" s="13" t="s">
        <v>204</v>
      </c>
      <c r="G409" s="10" t="s">
        <v>520</v>
      </c>
    </row>
    <row r="410" spans="1:7" ht="32.85">
      <c r="A410" s="8" t="s">
        <v>140</v>
      </c>
      <c r="B410" s="8">
        <v>2024</v>
      </c>
      <c r="C410" s="8" t="s">
        <v>49</v>
      </c>
      <c r="D410" s="8" t="s">
        <v>203</v>
      </c>
      <c r="E410" s="8" t="s">
        <v>203</v>
      </c>
      <c r="F410" s="13" t="s">
        <v>204</v>
      </c>
      <c r="G410" s="10" t="s">
        <v>520</v>
      </c>
    </row>
    <row r="411" spans="1:7" ht="32.85">
      <c r="A411" s="8" t="s">
        <v>140</v>
      </c>
      <c r="B411" s="8">
        <v>2025</v>
      </c>
      <c r="C411" s="8" t="s">
        <v>49</v>
      </c>
      <c r="D411" s="8" t="s">
        <v>203</v>
      </c>
      <c r="E411" s="8" t="s">
        <v>203</v>
      </c>
      <c r="F411" s="13" t="s">
        <v>204</v>
      </c>
      <c r="G411" s="10" t="s">
        <v>520</v>
      </c>
    </row>
    <row r="413" spans="1:7">
      <c r="A413" s="7" t="s">
        <v>521</v>
      </c>
    </row>
    <row r="414" spans="1:7">
      <c r="A414" s="16" t="s">
        <v>157</v>
      </c>
      <c r="B414" s="17">
        <v>367</v>
      </c>
    </row>
    <row r="415" spans="1:7">
      <c r="A415" s="18" t="s">
        <v>265</v>
      </c>
      <c r="B415" s="17">
        <v>7</v>
      </c>
    </row>
    <row r="416" spans="1:7">
      <c r="A416" s="19" t="s">
        <v>182</v>
      </c>
      <c r="B416" s="17">
        <v>1</v>
      </c>
    </row>
    <row r="417" spans="1:2">
      <c r="A417" s="20" t="s">
        <v>227</v>
      </c>
      <c r="B417" s="17">
        <v>8</v>
      </c>
    </row>
    <row r="418" spans="1:2">
      <c r="A418" s="21" t="s">
        <v>204</v>
      </c>
      <c r="B418" s="17">
        <v>16</v>
      </c>
    </row>
    <row r="419" spans="1:2">
      <c r="A419" s="22" t="s">
        <v>522</v>
      </c>
      <c r="B419" s="22">
        <v>407</v>
      </c>
    </row>
  </sheetData>
  <mergeCells count="2">
    <mergeCell ref="A1:G1"/>
    <mergeCell ref="A2:G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6"/>
  <sheetViews>
    <sheetView zoomScaleNormal="100" workbookViewId="0">
      <pane ySplit="1" topLeftCell="A2" activePane="bottomLeft" state="frozen"/>
      <selection pane="bottomLeft"/>
    </sheetView>
  </sheetViews>
  <sheetFormatPr defaultColWidth="8.7109375" defaultRowHeight="15"/>
  <cols>
    <col min="1" max="1" width="22" customWidth="1"/>
    <col min="2" max="2" width="8" customWidth="1"/>
    <col min="3" max="3" width="20" customWidth="1"/>
    <col min="4" max="4" width="6" customWidth="1"/>
    <col min="5" max="5" width="14" customWidth="1"/>
    <col min="6" max="6" width="12" customWidth="1"/>
    <col min="7" max="8" width="10" customWidth="1"/>
    <col min="9" max="9" width="12" customWidth="1"/>
    <col min="10" max="10" width="18" customWidth="1"/>
    <col min="11" max="12" width="16" customWidth="1"/>
    <col min="13" max="13" width="14" customWidth="1"/>
    <col min="14" max="14" width="16" customWidth="1"/>
  </cols>
  <sheetData>
    <row r="1" spans="1:14" ht="23.85">
      <c r="A1" s="1" t="s">
        <v>99</v>
      </c>
      <c r="B1" s="1" t="s">
        <v>100</v>
      </c>
      <c r="C1" s="1" t="s">
        <v>101</v>
      </c>
      <c r="D1" s="1" t="s">
        <v>102</v>
      </c>
      <c r="E1" s="1" t="s">
        <v>523</v>
      </c>
      <c r="F1" s="1" t="s">
        <v>524</v>
      </c>
      <c r="G1" s="1" t="s">
        <v>525</v>
      </c>
      <c r="H1" s="1" t="s">
        <v>526</v>
      </c>
      <c r="I1" s="1" t="s">
        <v>527</v>
      </c>
      <c r="J1" s="1" t="s">
        <v>528</v>
      </c>
      <c r="K1" s="1" t="s">
        <v>529</v>
      </c>
      <c r="L1" s="1" t="s">
        <v>530</v>
      </c>
      <c r="M1" s="1" t="s">
        <v>531</v>
      </c>
      <c r="N1" s="1" t="s">
        <v>532</v>
      </c>
    </row>
    <row r="2" spans="1:14">
      <c r="A2" s="23" t="str">
        <f>'Raw Data'!A2</f>
        <v>Afrimat Limited</v>
      </c>
      <c r="B2" s="23" t="str">
        <f>'Raw Data'!B2</f>
        <v>AFT</v>
      </c>
      <c r="C2" s="3" t="str">
        <f>'Raw Data'!C2</f>
        <v>Construction Materials &amp; Mining</v>
      </c>
      <c r="D2" s="23">
        <f>'Raw Data'!D2</f>
        <v>2021</v>
      </c>
      <c r="E2" s="6">
        <f>IFERROR('Raw Data'!G2/'Raw Data'!F2*100,"")</f>
        <v>23.994283330341805</v>
      </c>
      <c r="F2" s="6">
        <f>IFERROR('Raw Data'!H2/'Raw Data'!F2*100,"")</f>
        <v>16.277564399843087</v>
      </c>
      <c r="G2" s="6">
        <f>IFERROR('Raw Data'!H2/'Raw Data'!I2*100,"")</f>
        <v>13.495192264528699</v>
      </c>
      <c r="H2" s="6">
        <f>IFERROR('Raw Data'!H2/'Raw Data'!J2*100,"")</f>
        <v>26.622924920087478</v>
      </c>
      <c r="I2" s="6">
        <f>IFERROR('Raw Data'!K2/'Raw Data'!J2,"")</f>
        <v>0.22755021570514081</v>
      </c>
      <c r="J2" s="6">
        <f>IFERROR('Raw Data'!O2/'Raw Data'!F2,"")</f>
        <v>36.528587815285185</v>
      </c>
      <c r="K2" s="6">
        <f>IFERROR('Raw Data'!P2/'Raw Data'!F2,"")</f>
        <v>140.24439602042256</v>
      </c>
      <c r="L2" s="6">
        <f>IFERROR('Raw Data'!O2/'Raw Data'!Q2,"")</f>
        <v>51.401066666666665</v>
      </c>
      <c r="M2" s="6">
        <f>IFERROR('Raw Data'!Y2/'Raw Data'!F2*100,"")</f>
        <v>0.68764637866195377</v>
      </c>
      <c r="N2" s="6">
        <f>IFERROR('Raw Data'!F2/'Raw Data'!Q2,"")</f>
        <v>1.4071462857142858</v>
      </c>
    </row>
    <row r="3" spans="1:14">
      <c r="A3" s="23" t="str">
        <f>'Raw Data'!A3</f>
        <v>Afrimat Limited</v>
      </c>
      <c r="B3" s="23" t="str">
        <f>'Raw Data'!B3</f>
        <v>AFT</v>
      </c>
      <c r="C3" s="3" t="str">
        <f>'Raw Data'!C3</f>
        <v>Construction Materials &amp; Mining</v>
      </c>
      <c r="D3" s="23">
        <f>'Raw Data'!D3</f>
        <v>2022</v>
      </c>
      <c r="E3" s="6">
        <f>IFERROR('Raw Data'!G3/'Raw Data'!F3*100,"")</f>
        <v>23.694284582436445</v>
      </c>
      <c r="F3" s="6">
        <f>IFERROR('Raw Data'!H3/'Raw Data'!F3*100,"")</f>
        <v>16.510707727520778</v>
      </c>
      <c r="G3" s="6">
        <f>IFERROR('Raw Data'!H3/'Raw Data'!I3*100,"")</f>
        <v>15.312495479358432</v>
      </c>
      <c r="H3" s="6">
        <f>IFERROR('Raw Data'!H3/'Raw Data'!J3*100,"")</f>
        <v>25.695464219207238</v>
      </c>
      <c r="I3" s="6">
        <f>IFERROR('Raw Data'!K3/'Raw Data'!J3,"")</f>
        <v>0.21409483905293963</v>
      </c>
      <c r="J3" s="6">
        <f>IFERROR('Raw Data'!O3/'Raw Data'!F3,"")</f>
        <v>36.364714434246608</v>
      </c>
      <c r="K3" s="6">
        <f>IFERROR('Raw Data'!P3/'Raw Data'!F3,"")</f>
        <v>173.07916662927411</v>
      </c>
      <c r="L3" s="6">
        <f>IFERROR('Raw Data'!O3/'Raw Data'!Q3,"")</f>
        <v>67.777658303464762</v>
      </c>
      <c r="M3" s="6">
        <f>IFERROR('Raw Data'!Y3/'Raw Data'!F3*100,"")</f>
        <v>0.81195227942782144</v>
      </c>
      <c r="N3" s="6">
        <f>IFERROR('Raw Data'!F3/'Raw Data'!Q3,"")</f>
        <v>1.8638303464755079</v>
      </c>
    </row>
    <row r="4" spans="1:14">
      <c r="A4" s="23" t="str">
        <f>'Raw Data'!A4</f>
        <v>Afrimat Limited</v>
      </c>
      <c r="B4" s="23" t="str">
        <f>'Raw Data'!B4</f>
        <v>AFT</v>
      </c>
      <c r="C4" s="3" t="str">
        <f>'Raw Data'!C4</f>
        <v>Construction Materials &amp; Mining</v>
      </c>
      <c r="D4" s="23">
        <f>'Raw Data'!D4</f>
        <v>2023</v>
      </c>
      <c r="E4" s="6">
        <f>IFERROR('Raw Data'!G4/'Raw Data'!F4*100,"")</f>
        <v>19.590757416408902</v>
      </c>
      <c r="F4" s="6">
        <f>IFERROR('Raw Data'!H4/'Raw Data'!F4*100,"")</f>
        <v>13.473674259479676</v>
      </c>
      <c r="G4" s="6">
        <f>IFERROR('Raw Data'!H4/'Raw Data'!I4*100,"")</f>
        <v>11.64063781654783</v>
      </c>
      <c r="H4" s="6">
        <f>IFERROR('Raw Data'!H4/'Raw Data'!J4*100,"")</f>
        <v>17.18154311727627</v>
      </c>
      <c r="I4" s="6">
        <f>IFERROR('Raw Data'!K4/'Raw Data'!J4,"")</f>
        <v>8.1209369464491435E-2</v>
      </c>
      <c r="J4" s="6">
        <f>IFERROR('Raw Data'!O4/'Raw Data'!F4,"")</f>
        <v>33.206193342702612</v>
      </c>
      <c r="K4" s="6">
        <f>IFERROR('Raw Data'!P4/'Raw Data'!F4,"")</f>
        <v>282.11875626243062</v>
      </c>
      <c r="L4" s="6">
        <f>IFERROR('Raw Data'!O4/'Raw Data'!Q4,"")</f>
        <v>61.08841829085457</v>
      </c>
      <c r="M4" s="6">
        <f>IFERROR('Raw Data'!Y4/'Raw Data'!F4*100,"")</f>
        <v>1.0268450714900133</v>
      </c>
      <c r="N4" s="6">
        <f>IFERROR('Raw Data'!F4/'Raw Data'!Q4,"")</f>
        <v>1.8396694152923538</v>
      </c>
    </row>
    <row r="5" spans="1:14">
      <c r="A5" s="23" t="str">
        <f>'Raw Data'!A5</f>
        <v>Afrimat Limited</v>
      </c>
      <c r="B5" s="23" t="str">
        <f>'Raw Data'!B5</f>
        <v>AFT</v>
      </c>
      <c r="C5" s="3" t="str">
        <f>'Raw Data'!C5</f>
        <v>Construction Materials &amp; Mining</v>
      </c>
      <c r="D5" s="23">
        <f>'Raw Data'!D5</f>
        <v>2024</v>
      </c>
      <c r="E5" s="6">
        <f>IFERROR('Raw Data'!G5/'Raw Data'!F5*100,"")</f>
        <v>18.943152378322221</v>
      </c>
      <c r="F5" s="6">
        <f>IFERROR('Raw Data'!H5/'Raw Data'!F5*100,"")</f>
        <v>12.851224997041069</v>
      </c>
      <c r="G5" s="6">
        <f>IFERROR('Raw Data'!H5/'Raw Data'!I5*100,"")</f>
        <v>11.58439463900789</v>
      </c>
      <c r="H5" s="6">
        <f>IFERROR('Raw Data'!H5/'Raw Data'!J5*100,"")</f>
        <v>17.132784912517767</v>
      </c>
      <c r="I5" s="6">
        <f>IFERROR('Raw Data'!K5/'Raw Data'!J5,"")</f>
        <v>0.12209511157142791</v>
      </c>
      <c r="J5" s="6">
        <f>IFERROR('Raw Data'!O5/'Raw Data'!F5,"")</f>
        <v>29.139756841703818</v>
      </c>
      <c r="K5" s="6">
        <f>IFERROR('Raw Data'!P5/'Raw Data'!F5,"")</f>
        <v>260.86831446193503</v>
      </c>
      <c r="L5" s="6">
        <f>IFERROR('Raw Data'!O5/'Raw Data'!Q5,"")</f>
        <v>64.343121597096186</v>
      </c>
      <c r="M5" s="6">
        <f>IFERROR('Raw Data'!Y5/'Raw Data'!F5*100,"")</f>
        <v>1.2098736208098264</v>
      </c>
      <c r="N5" s="6">
        <f>IFERROR('Raw Data'!F5/'Raw Data'!Q5,"")</f>
        <v>2.2080871143375678</v>
      </c>
    </row>
    <row r="6" spans="1:14">
      <c r="A6" s="23" t="str">
        <f>'Raw Data'!A6</f>
        <v>Afrimat Limited</v>
      </c>
      <c r="B6" s="23" t="str">
        <f>'Raw Data'!B6</f>
        <v>AFT</v>
      </c>
      <c r="C6" s="3" t="str">
        <f>'Raw Data'!C6</f>
        <v>Construction Materials &amp; Mining</v>
      </c>
      <c r="D6" s="23">
        <f>'Raw Data'!D6</f>
        <v>2025</v>
      </c>
      <c r="E6" s="6">
        <f>IFERROR('Raw Data'!G6/'Raw Data'!F6*100,"")</f>
        <v>5.7435494097814246</v>
      </c>
      <c r="F6" s="6">
        <f>IFERROR('Raw Data'!H6/'Raw Data'!F6*100,"")</f>
        <v>1.1488902188400107</v>
      </c>
      <c r="G6" s="6">
        <f>IFERROR('Raw Data'!H6/'Raw Data'!I6*100,"")</f>
        <v>1.0383456184274891</v>
      </c>
      <c r="H6" s="6">
        <f>IFERROR('Raw Data'!H6/'Raw Data'!J6*100,"")</f>
        <v>2.1776740667143692</v>
      </c>
      <c r="I6" s="6">
        <f>IFERROR('Raw Data'!K6/'Raw Data'!J6,"")</f>
        <v>0.42369116688619179</v>
      </c>
      <c r="J6" s="6">
        <f>IFERROR('Raw Data'!O6/'Raw Data'!F6,"")</f>
        <v>24.437571338265588</v>
      </c>
      <c r="K6" s="6">
        <f>IFERROR('Raw Data'!P6/'Raw Data'!F6,"")</f>
        <v>231.18431078729554</v>
      </c>
      <c r="L6" s="6">
        <f>IFERROR('Raw Data'!O6/'Raw Data'!Q6,"")</f>
        <v>53.085923217550274</v>
      </c>
      <c r="M6" s="6">
        <f>IFERROR('Raw Data'!Y6/'Raw Data'!F6*100,"")</f>
        <v>0.74899919040761664</v>
      </c>
      <c r="N6" s="6">
        <f>IFERROR('Raw Data'!F6/'Raw Data'!Q6,"")</f>
        <v>2.172307652128493</v>
      </c>
    </row>
    <row r="7" spans="1:14">
      <c r="A7" s="23" t="str">
        <f>'Raw Data'!A7</f>
        <v>AECI Limited</v>
      </c>
      <c r="B7" s="23" t="str">
        <f>'Raw Data'!B7</f>
        <v>AFE</v>
      </c>
      <c r="C7" s="3" t="str">
        <f>'Raw Data'!C7</f>
        <v>Chemicals</v>
      </c>
      <c r="D7" s="23">
        <f>'Raw Data'!D7</f>
        <v>2021</v>
      </c>
      <c r="E7" s="6">
        <f>IFERROR('Raw Data'!G7/'Raw Data'!F7*100,"")</f>
        <v>7.876252255018616</v>
      </c>
      <c r="F7" s="6">
        <f>IFERROR('Raw Data'!H7/'Raw Data'!F7*100,"")</f>
        <v>4.6443787663608802</v>
      </c>
      <c r="G7" s="6" t="str">
        <f>IFERROR('Raw Data'!H7/'Raw Data'!I7*100,"")</f>
        <v/>
      </c>
      <c r="H7" s="6">
        <f>IFERROR('Raw Data'!H7/'Raw Data'!J7*100,"")</f>
        <v>10.440935369747175</v>
      </c>
      <c r="I7" s="6">
        <f>IFERROR('Raw Data'!K7/'Raw Data'!J7,"")</f>
        <v>0.23815687289671239</v>
      </c>
      <c r="J7" s="6">
        <f>IFERROR('Raw Data'!O7/'Raw Data'!F7,"")</f>
        <v>19.242851111196408</v>
      </c>
      <c r="K7" s="6">
        <f>IFERROR('Raw Data'!P7/'Raw Data'!F7,"")</f>
        <v>67.398341841630526</v>
      </c>
      <c r="L7" s="6">
        <f>IFERROR('Raw Data'!O7/'Raw Data'!Q7,"")</f>
        <v>71.313513513513513</v>
      </c>
      <c r="M7" s="6">
        <f>IFERROR('Raw Data'!Y7/'Raw Data'!F7*100,"")</f>
        <v>0.13357386865236248</v>
      </c>
      <c r="N7" s="6">
        <f>IFERROR('Raw Data'!F7/'Raw Data'!Q7,"")</f>
        <v>3.7059743954480795</v>
      </c>
    </row>
    <row r="8" spans="1:14">
      <c r="A8" s="23" t="str">
        <f>'Raw Data'!A8</f>
        <v>AECI Limited</v>
      </c>
      <c r="B8" s="23" t="str">
        <f>'Raw Data'!B8</f>
        <v>AFE</v>
      </c>
      <c r="C8" s="3" t="str">
        <f>'Raw Data'!C8</f>
        <v>Chemicals</v>
      </c>
      <c r="D8" s="23">
        <f>'Raw Data'!D8</f>
        <v>2022</v>
      </c>
      <c r="E8" s="6">
        <f>IFERROR('Raw Data'!G8/'Raw Data'!F8*100,"")</f>
        <v>5.7527470983334741</v>
      </c>
      <c r="F8" s="6">
        <f>IFERROR('Raw Data'!H8/'Raw Data'!F8*100,"")</f>
        <v>2.6866762217913047</v>
      </c>
      <c r="G8" s="6" t="str">
        <f>IFERROR('Raw Data'!H8/'Raw Data'!I8*100,"")</f>
        <v/>
      </c>
      <c r="H8" s="6">
        <f>IFERROR('Raw Data'!H8/'Raw Data'!J8*100,"")</f>
        <v>8.101694915254237</v>
      </c>
      <c r="I8" s="6">
        <f>IFERROR('Raw Data'!K8/'Raw Data'!J8,"")</f>
        <v>0.44915254237288138</v>
      </c>
      <c r="J8" s="6">
        <f>IFERROR('Raw Data'!O8/'Raw Data'!F8,"")</f>
        <v>13.877441474861591</v>
      </c>
      <c r="K8" s="6">
        <f>IFERROR('Raw Data'!P8/'Raw Data'!F8,"")</f>
        <v>50.402017817497118</v>
      </c>
      <c r="L8" s="6">
        <f>IFERROR('Raw Data'!O8/'Raw Data'!Q8,"")</f>
        <v>68.8896484375</v>
      </c>
      <c r="M8" s="6">
        <f>IFERROR('Raw Data'!Y8/'Raw Data'!F8*100,"")</f>
        <v>0.10173397408875025</v>
      </c>
      <c r="N8" s="6">
        <f>IFERROR('Raw Data'!F8/'Raw Data'!Q8,"")</f>
        <v>4.9641462053571432</v>
      </c>
    </row>
    <row r="9" spans="1:14">
      <c r="A9" s="23" t="str">
        <f>'Raw Data'!A9</f>
        <v>AECI Limited</v>
      </c>
      <c r="B9" s="23" t="str">
        <f>'Raw Data'!B9</f>
        <v>AFE</v>
      </c>
      <c r="C9" s="3" t="str">
        <f>'Raw Data'!C9</f>
        <v>Chemicals</v>
      </c>
      <c r="D9" s="23">
        <f>'Raw Data'!D9</f>
        <v>2023</v>
      </c>
      <c r="E9" s="6">
        <f>IFERROR('Raw Data'!G9/'Raw Data'!F9*100,"")</f>
        <v>6.8559999999999999</v>
      </c>
      <c r="F9" s="6">
        <f>IFERROR('Raw Data'!H9/'Raw Data'!F9*100,"")</f>
        <v>3.1466666666666665</v>
      </c>
      <c r="G9" s="6" t="str">
        <f>IFERROR('Raw Data'!H9/'Raw Data'!I9*100,"")</f>
        <v/>
      </c>
      <c r="H9" s="6">
        <f>IFERROR('Raw Data'!H9/'Raw Data'!J9*100,"")</f>
        <v>9.5161290322580641</v>
      </c>
      <c r="I9" s="6">
        <f>IFERROR('Raw Data'!K9/'Raw Data'!J9,"")</f>
        <v>0.34677419354838712</v>
      </c>
      <c r="J9" s="6">
        <f>IFERROR('Raw Data'!O9/'Raw Data'!F9,"")</f>
        <v>11.730346666666666</v>
      </c>
      <c r="K9" s="6">
        <f>IFERROR('Raw Data'!P9/'Raw Data'!F9,"")</f>
        <v>44.769733333333335</v>
      </c>
      <c r="L9" s="6">
        <f>IFERROR('Raw Data'!O9/'Raw Data'!Q9,"")</f>
        <v>61.189038809291972</v>
      </c>
      <c r="M9" s="6">
        <f>IFERROR('Raw Data'!Y9/'Raw Data'!F9*100,"")</f>
        <v>0.10666666666666667</v>
      </c>
      <c r="N9" s="6">
        <f>IFERROR('Raw Data'!F9/'Raw Data'!Q9,"")</f>
        <v>5.2163026846571148</v>
      </c>
    </row>
    <row r="10" spans="1:14">
      <c r="A10" s="23" t="str">
        <f>'Raw Data'!A10</f>
        <v>AECI Limited</v>
      </c>
      <c r="B10" s="23" t="str">
        <f>'Raw Data'!B10</f>
        <v>AFE</v>
      </c>
      <c r="C10" s="3" t="str">
        <f>'Raw Data'!C10</f>
        <v>Chemicals</v>
      </c>
      <c r="D10" s="23">
        <f>'Raw Data'!D10</f>
        <v>2024</v>
      </c>
      <c r="E10" s="6">
        <f>IFERROR('Raw Data'!G10/'Raw Data'!F10*100,"")</f>
        <v>0</v>
      </c>
      <c r="F10" s="6">
        <f>IFERROR('Raw Data'!H10/'Raw Data'!F10*100,"")</f>
        <v>-0.75897374843740695</v>
      </c>
      <c r="G10" s="6" t="str">
        <f>IFERROR('Raw Data'!H10/'Raw Data'!I10*100,"")</f>
        <v/>
      </c>
      <c r="H10" s="6">
        <f>IFERROR('Raw Data'!H10/'Raw Data'!J10*100,"")</f>
        <v>-2.1074380165289255</v>
      </c>
      <c r="I10" s="6">
        <f>IFERROR('Raw Data'!K10/'Raw Data'!J10,"")</f>
        <v>0.30892561983471073</v>
      </c>
      <c r="J10" s="6">
        <f>IFERROR('Raw Data'!O10/'Raw Data'!F10,"")</f>
        <v>12.391719745222931</v>
      </c>
      <c r="K10" s="6">
        <f>IFERROR('Raw Data'!P10/'Raw Data'!F10,"")</f>
        <v>48.754390142270374</v>
      </c>
      <c r="L10" s="6">
        <f>IFERROR('Raw Data'!O10/'Raw Data'!Q10,"")</f>
        <v>60.008215624099165</v>
      </c>
      <c r="M10" s="6">
        <f>IFERROR('Raw Data'!Y10/'Raw Data'!F10*100,"")</f>
        <v>8.4826477766533723E-2</v>
      </c>
      <c r="N10" s="6">
        <f>IFERROR('Raw Data'!F10/'Raw Data'!Q10,"")</f>
        <v>4.8426059383107525</v>
      </c>
    </row>
    <row r="11" spans="1:14">
      <c r="A11" s="23" t="str">
        <f>'Raw Data'!A11</f>
        <v>AECI Limited</v>
      </c>
      <c r="B11" s="23" t="str">
        <f>'Raw Data'!B11</f>
        <v>AFE</v>
      </c>
      <c r="C11" s="3" t="str">
        <f>'Raw Data'!C11</f>
        <v>Chemicals</v>
      </c>
      <c r="D11" s="23">
        <f>'Raw Data'!D11</f>
        <v>2025</v>
      </c>
      <c r="E11" s="6">
        <f>IFERROR('Raw Data'!G11/'Raw Data'!F11*100,"")</f>
        <v>4.7540627039120036</v>
      </c>
      <c r="F11" s="6">
        <f>IFERROR('Raw Data'!H11/'Raw Data'!F11*100,"")</f>
        <v>0</v>
      </c>
      <c r="G11" s="6" t="str">
        <f>IFERROR('Raw Data'!H11/'Raw Data'!I11*100,"")</f>
        <v/>
      </c>
      <c r="H11" s="6">
        <f>IFERROR('Raw Data'!H11/'Raw Data'!J11*100,"")</f>
        <v>0</v>
      </c>
      <c r="I11" s="6">
        <f>IFERROR('Raw Data'!K11/'Raw Data'!J11,"")</f>
        <v>4.0086206896551721E-2</v>
      </c>
      <c r="J11" s="6">
        <f>IFERROR('Raw Data'!O11/'Raw Data'!F11,"")</f>
        <v>11.356927570456453</v>
      </c>
      <c r="K11" s="6">
        <f>IFERROR('Raw Data'!P11/'Raw Data'!F11,"")</f>
        <v>48.2747102507535</v>
      </c>
      <c r="L11" s="6">
        <f>IFERROR('Raw Data'!O11/'Raw Data'!Q11,"")</f>
        <v>66.95365451547903</v>
      </c>
      <c r="M11" s="6">
        <f>IFERROR('Raw Data'!Y11/'Raw Data'!F11*100,"")</f>
        <v>0.1025386073392785</v>
      </c>
      <c r="N11" s="6">
        <f>IFERROR('Raw Data'!F11/'Raw Data'!Q11,"")</f>
        <v>5.895402088294559</v>
      </c>
    </row>
    <row r="12" spans="1:14">
      <c r="A12" s="23" t="str">
        <f>'Raw Data'!A12</f>
        <v>ArcelorMittal South Africa</v>
      </c>
      <c r="B12" s="23" t="str">
        <f>'Raw Data'!B12</f>
        <v>AMS</v>
      </c>
      <c r="C12" s="3" t="str">
        <f>'Raw Data'!C12</f>
        <v>Steel &amp; Metals</v>
      </c>
      <c r="D12" s="23">
        <f>'Raw Data'!D12</f>
        <v>2021</v>
      </c>
      <c r="E12" s="6">
        <f>IFERROR('Raw Data'!G12/'Raw Data'!F12*100,"")</f>
        <v>20.086632416641486</v>
      </c>
      <c r="F12" s="6">
        <f>IFERROR('Raw Data'!H12/'Raw Data'!F12*100,"")</f>
        <v>16.684295356099526</v>
      </c>
      <c r="G12" s="6">
        <f>IFERROR('Raw Data'!H12/'Raw Data'!I12*100,"")</f>
        <v>22.771800776819166</v>
      </c>
      <c r="H12" s="6">
        <f>IFERROR('Raw Data'!H12/'Raw Data'!J12*100,"")</f>
        <v>73.180161272506353</v>
      </c>
      <c r="I12" s="6">
        <f>IFERROR('Raw Data'!K12/'Raw Data'!J12,"")</f>
        <v>0.65282226886115102</v>
      </c>
      <c r="J12" s="6">
        <f>IFERROR('Raw Data'!O12/'Raw Data'!F12,"")</f>
        <v>211.79611161478795</v>
      </c>
      <c r="K12" s="6">
        <f>IFERROR('Raw Data'!P12/'Raw Data'!F12,"")</f>
        <v>302.72761156442027</v>
      </c>
      <c r="L12" s="6">
        <f>IFERROR('Raw Data'!O12/'Raw Data'!Q12,"")</f>
        <v>1179.0270573391281</v>
      </c>
      <c r="M12" s="6">
        <f>IFERROR('Raw Data'!Y12/'Raw Data'!F12*100,"")</f>
        <v>3.9034955172761156E-2</v>
      </c>
      <c r="N12" s="6">
        <f>IFERROR('Raw Data'!F12/'Raw Data'!Q12,"")</f>
        <v>5.5668021870180846</v>
      </c>
    </row>
    <row r="13" spans="1:14">
      <c r="A13" s="23" t="str">
        <f>'Raw Data'!A13</f>
        <v>ArcelorMittal South Africa</v>
      </c>
      <c r="B13" s="23" t="str">
        <f>'Raw Data'!B13</f>
        <v>AMS</v>
      </c>
      <c r="C13" s="3" t="str">
        <f>'Raw Data'!C13</f>
        <v>Steel &amp; Metals</v>
      </c>
      <c r="D13" s="23">
        <f>'Raw Data'!D13</f>
        <v>2022</v>
      </c>
      <c r="E13" s="6">
        <f>IFERROR('Raw Data'!G13/'Raw Data'!F13*100,"")</f>
        <v>8.5820804002845161</v>
      </c>
      <c r="F13" s="6">
        <f>IFERROR('Raw Data'!H13/'Raw Data'!F13*100,"")</f>
        <v>6.4604743567731964</v>
      </c>
      <c r="G13" s="6">
        <f>IFERROR('Raw Data'!H13/'Raw Data'!I13*100,"")</f>
        <v>8.7797073430885639</v>
      </c>
      <c r="H13" s="6">
        <f>IFERROR('Raw Data'!H13/'Raw Data'!J13*100,"")</f>
        <v>22.5610278372591</v>
      </c>
      <c r="I13" s="6">
        <f>IFERROR('Raw Data'!K13/'Raw Data'!J13,"")</f>
        <v>0.53104925053533192</v>
      </c>
      <c r="J13" s="6">
        <f>IFERROR('Raw Data'!O13/'Raw Data'!F13,"")</f>
        <v>204.80243310195974</v>
      </c>
      <c r="K13" s="6">
        <f>IFERROR('Raw Data'!P13/'Raw Data'!F13,"")</f>
        <v>280.05979740501829</v>
      </c>
      <c r="L13" s="6">
        <f>IFERROR('Raw Data'!O13/'Raw Data'!Q13,"")</f>
        <v>1294.5736434108528</v>
      </c>
      <c r="M13" s="6">
        <f>IFERROR('Raw Data'!Y13/'Raw Data'!F13*100,"")</f>
        <v>4.0960486620391943E-2</v>
      </c>
      <c r="N13" s="6">
        <f>IFERROR('Raw Data'!F13/'Raw Data'!Q13,"")</f>
        <v>6.3210852713178296</v>
      </c>
    </row>
    <row r="14" spans="1:14">
      <c r="A14" s="23" t="str">
        <f>'Raw Data'!A14</f>
        <v>ArcelorMittal South Africa</v>
      </c>
      <c r="B14" s="23" t="str">
        <f>'Raw Data'!B14</f>
        <v>AMS</v>
      </c>
      <c r="C14" s="3" t="str">
        <f>'Raw Data'!C14</f>
        <v>Steel &amp; Metals</v>
      </c>
      <c r="D14" s="23">
        <f>'Raw Data'!D14</f>
        <v>2023</v>
      </c>
      <c r="E14" s="6">
        <f>IFERROR('Raw Data'!G14/'Raw Data'!F14*100,"")</f>
        <v>-7.0538223214929028</v>
      </c>
      <c r="F14" s="6">
        <f>IFERROR('Raw Data'!H14/'Raw Data'!F14*100,"")</f>
        <v>-9.4147032687273349</v>
      </c>
      <c r="G14" s="6">
        <f>IFERROR('Raw Data'!H14/'Raw Data'!I14*100,"")</f>
        <v>-13.466162830642393</v>
      </c>
      <c r="H14" s="6">
        <f>IFERROR('Raw Data'!H14/'Raw Data'!J14*100,"")</f>
        <v>-50.262854212078466</v>
      </c>
      <c r="I14" s="6">
        <f>IFERROR('Raw Data'!K14/'Raw Data'!J14,"")</f>
        <v>0.8590844980125657</v>
      </c>
      <c r="J14" s="6">
        <f>IFERROR('Raw Data'!O14/'Raw Data'!F14,"")</f>
        <v>228.64279366909238</v>
      </c>
      <c r="K14" s="6">
        <f>IFERROR('Raw Data'!P14/'Raw Data'!F14,"")</f>
        <v>260.87957825972092</v>
      </c>
      <c r="L14" s="6">
        <f>IFERROR('Raw Data'!O14/'Raw Data'!Q14,"")</f>
        <v>1476.197860133354</v>
      </c>
      <c r="M14" s="6">
        <f>IFERROR('Raw Data'!Y14/'Raw Data'!F14*100,"")</f>
        <v>3.9628215289285972E-2</v>
      </c>
      <c r="N14" s="6">
        <f>IFERROR('Raw Data'!F14/'Raw Data'!Q14,"")</f>
        <v>6.4563498216777795</v>
      </c>
    </row>
    <row r="15" spans="1:14">
      <c r="A15" s="23" t="str">
        <f>'Raw Data'!A15</f>
        <v>ArcelorMittal South Africa</v>
      </c>
      <c r="B15" s="23" t="str">
        <f>'Raw Data'!B15</f>
        <v>AMS</v>
      </c>
      <c r="C15" s="3" t="str">
        <f>'Raw Data'!C15</f>
        <v>Steel &amp; Metals</v>
      </c>
      <c r="D15" s="23">
        <f>'Raw Data'!D15</f>
        <v>2024</v>
      </c>
      <c r="E15" s="6">
        <f>IFERROR('Raw Data'!G15/'Raw Data'!F15*100,"")</f>
        <v>-11.521919369882889</v>
      </c>
      <c r="F15" s="6">
        <f>IFERROR('Raw Data'!H15/'Raw Data'!F15*100,"")</f>
        <v>-15.128510726500155</v>
      </c>
      <c r="G15" s="6">
        <f>IFERROR('Raw Data'!H15/'Raw Data'!I15*100,"")</f>
        <v>-23.411250551301073</v>
      </c>
      <c r="H15" s="6">
        <f>IFERROR('Raw Data'!H15/'Raw Data'!J15*100,"")</f>
        <v>-297.4528782475802</v>
      </c>
      <c r="I15" s="6">
        <f>IFERROR('Raw Data'!K15/'Raw Data'!J15,"")</f>
        <v>4.4345389709628122</v>
      </c>
      <c r="J15" s="6">
        <f>IFERROR('Raw Data'!O15/'Raw Data'!F15,"")</f>
        <v>229.2983728883822</v>
      </c>
      <c r="K15" s="6">
        <f>IFERROR('Raw Data'!P15/'Raw Data'!F15,"")</f>
        <v>300.8979946108405</v>
      </c>
      <c r="L15" s="6">
        <f>IFERROR('Raw Data'!O15/'Raw Data'!Q15,"")</f>
        <v>1448.9194499017681</v>
      </c>
      <c r="M15" s="6">
        <f>IFERROR('Raw Data'!Y15/'Raw Data'!F15*100,"")</f>
        <v>4.2232355684526893E-2</v>
      </c>
      <c r="N15" s="6">
        <f>IFERROR('Raw Data'!F15/'Raw Data'!Q15,"")</f>
        <v>6.3189259986902426</v>
      </c>
    </row>
    <row r="16" spans="1:14">
      <c r="A16" s="23" t="str">
        <f>'Raw Data'!A16</f>
        <v>ArcelorMittal South Africa</v>
      </c>
      <c r="B16" s="23" t="str">
        <f>'Raw Data'!B16</f>
        <v>AMS</v>
      </c>
      <c r="C16" s="3" t="str">
        <f>'Raw Data'!C16</f>
        <v>Steel &amp; Metals</v>
      </c>
      <c r="D16" s="23">
        <f>'Raw Data'!D16</f>
        <v>2025</v>
      </c>
      <c r="E16" s="6">
        <f>IFERROR('Raw Data'!G16/'Raw Data'!F16*100,"")</f>
        <v>-6.3268402960577248</v>
      </c>
      <c r="F16" s="6">
        <f>IFERROR('Raw Data'!H16/'Raw Data'!F16*100,"")</f>
        <v>-9.3276764423523595</v>
      </c>
      <c r="G16" s="6">
        <f>IFERROR('Raw Data'!H16/'Raw Data'!I16*100,"")</f>
        <v>-14.33330160845151</v>
      </c>
      <c r="H16" s="6">
        <f>IFERROR('Raw Data'!H16/'Raw Data'!J16*100,"")</f>
        <v>702.09790209790208</v>
      </c>
      <c r="I16" s="6">
        <f>IFERROR('Raw Data'!K16/'Raw Data'!J16,"")</f>
        <v>-21.272727272727273</v>
      </c>
      <c r="J16" s="6">
        <f>IFERROR('Raw Data'!O16/'Raw Data'!F16,"")</f>
        <v>232.57254343315475</v>
      </c>
      <c r="K16" s="6">
        <f>IFERROR('Raw Data'!P16/'Raw Data'!F16,"")</f>
        <v>390.89340683162493</v>
      </c>
      <c r="L16" s="6">
        <f>IFERROR('Raw Data'!O16/'Raw Data'!Q16,"")</f>
        <v>1348.5365415694021</v>
      </c>
      <c r="M16" s="6">
        <f>IFERROR('Raw Data'!Y16/'Raw Data'!F16*100,"")</f>
        <v>5.0478461490817875E-2</v>
      </c>
      <c r="N16" s="6">
        <f>IFERROR('Raw Data'!F16/'Raw Data'!Q16,"")</f>
        <v>5.7983479978452142</v>
      </c>
    </row>
    <row r="17" spans="1:14">
      <c r="A17" s="23" t="str">
        <f>'Raw Data'!A17</f>
        <v>Omnia Holdings Limited</v>
      </c>
      <c r="B17" s="23" t="str">
        <f>'Raw Data'!B17</f>
        <v>OMN</v>
      </c>
      <c r="C17" s="3" t="str">
        <f>'Raw Data'!C17</f>
        <v>Chemicals &amp; Agriculture</v>
      </c>
      <c r="D17" s="23">
        <f>'Raw Data'!D17</f>
        <v>2021</v>
      </c>
      <c r="E17" s="6">
        <f>IFERROR('Raw Data'!G17/'Raw Data'!F17*100,"")</f>
        <v>6.7734682405845987</v>
      </c>
      <c r="F17" s="6">
        <f>IFERROR('Raw Data'!H17/'Raw Data'!F17*100,"")</f>
        <v>3.698707138842046</v>
      </c>
      <c r="G17" s="6">
        <f>IFERROR('Raw Data'!H17/'Raw Data'!I17*100,"")</f>
        <v>4.4300814650239007</v>
      </c>
      <c r="H17" s="6">
        <f>IFERROR('Raw Data'!H17/'Raw Data'!J17*100,"")</f>
        <v>6.7563404867029471</v>
      </c>
      <c r="I17" s="6">
        <f>IFERROR('Raw Data'!K17/'Raw Data'!J17,"")</f>
        <v>6.7768764760242324E-3</v>
      </c>
      <c r="J17" s="6">
        <f>IFERROR('Raw Data'!O17/'Raw Data'!F17,"")</f>
        <v>14.699269252388982</v>
      </c>
      <c r="K17" s="6">
        <f>IFERROR('Raw Data'!P17/'Raw Data'!F17,"")</f>
        <v>111.18605958403597</v>
      </c>
      <c r="L17" s="6">
        <f>IFERROR('Raw Data'!O17/'Raw Data'!Q17,"")</f>
        <v>62.261904761904759</v>
      </c>
      <c r="M17" s="6">
        <f>IFERROR('Raw Data'!Y17/'Raw Data'!F17*100,"")</f>
        <v>0.13659359190556492</v>
      </c>
      <c r="N17" s="6">
        <f>IFERROR('Raw Data'!F17/'Raw Data'!Q17,"")</f>
        <v>4.2357142857142858</v>
      </c>
    </row>
    <row r="18" spans="1:14">
      <c r="A18" s="23" t="str">
        <f>'Raw Data'!A18</f>
        <v>Omnia Holdings Limited</v>
      </c>
      <c r="B18" s="23" t="str">
        <f>'Raw Data'!B18</f>
        <v>OMN</v>
      </c>
      <c r="C18" s="3" t="str">
        <f>'Raw Data'!C18</f>
        <v>Chemicals &amp; Agriculture</v>
      </c>
      <c r="D18" s="23">
        <f>'Raw Data'!D18</f>
        <v>2022</v>
      </c>
      <c r="E18" s="6">
        <f>IFERROR('Raw Data'!G18/'Raw Data'!F18*100,"")</f>
        <v>7.4497364370014463</v>
      </c>
      <c r="F18" s="6">
        <f>IFERROR('Raw Data'!H18/'Raw Data'!F18*100,"")</f>
        <v>5.0986611932639825</v>
      </c>
      <c r="G18" s="6">
        <f>IFERROR('Raw Data'!H18/'Raw Data'!I18*100,"")</f>
        <v>6.8265567422397107</v>
      </c>
      <c r="H18" s="6">
        <f>IFERROR('Raw Data'!H18/'Raw Data'!J18*100,"")</f>
        <v>10.910361349570772</v>
      </c>
      <c r="I18" s="6">
        <f>IFERROR('Raw Data'!K18/'Raw Data'!J18,"")</f>
        <v>5.1906568177280893E-3</v>
      </c>
      <c r="J18" s="6">
        <f>IFERROR('Raw Data'!O18/'Raw Data'!F18,"")</f>
        <v>15.716191631291691</v>
      </c>
      <c r="K18" s="6">
        <f>IFERROR('Raw Data'!P18/'Raw Data'!F18,"")</f>
        <v>86.812520408639273</v>
      </c>
      <c r="L18" s="6">
        <f>IFERROR('Raw Data'!O18/'Raw Data'!Q18,"")</f>
        <v>84.016957605985041</v>
      </c>
      <c r="M18" s="6">
        <f>IFERROR('Raw Data'!Y18/'Raw Data'!F18*100,"")</f>
        <v>0.13388067360171665</v>
      </c>
      <c r="N18" s="6">
        <f>IFERROR('Raw Data'!F18/'Raw Data'!Q18,"")</f>
        <v>5.3458852867830426</v>
      </c>
    </row>
    <row r="19" spans="1:14">
      <c r="A19" s="23" t="str">
        <f>'Raw Data'!A19</f>
        <v>Omnia Holdings Limited</v>
      </c>
      <c r="B19" s="23" t="str">
        <f>'Raw Data'!B19</f>
        <v>OMN</v>
      </c>
      <c r="C19" s="3" t="str">
        <f>'Raw Data'!C19</f>
        <v>Chemicals &amp; Agriculture</v>
      </c>
      <c r="D19" s="23">
        <f>'Raw Data'!D19</f>
        <v>2023</v>
      </c>
      <c r="E19" s="6">
        <f>IFERROR('Raw Data'!G19/'Raw Data'!F19*100,"")</f>
        <v>7.146620502784887</v>
      </c>
      <c r="F19" s="6">
        <f>IFERROR('Raw Data'!H19/'Raw Data'!F19*100,"")</f>
        <v>4.3993677555321389</v>
      </c>
      <c r="G19" s="6">
        <f>IFERROR('Raw Data'!H19/'Raw Data'!I19*100,"")</f>
        <v>6.9438669438669445</v>
      </c>
      <c r="H19" s="6">
        <f>IFERROR('Raw Data'!H19/'Raw Data'!J19*100,"")</f>
        <v>11.399317406143345</v>
      </c>
      <c r="I19" s="6">
        <f>IFERROR('Raw Data'!K19/'Raw Data'!J19,"")</f>
        <v>4.1930765480253538E-3</v>
      </c>
      <c r="J19" s="6">
        <f>IFERROR('Raw Data'!O19/'Raw Data'!F19,"")</f>
        <v>7.0601384916453407</v>
      </c>
      <c r="K19" s="6">
        <f>IFERROR('Raw Data'!P19/'Raw Data'!F19,"")</f>
        <v>63.149179587535755</v>
      </c>
      <c r="L19" s="6">
        <f>IFERROR('Raw Data'!O19/'Raw Data'!Q19,"")</f>
        <v>48.488498319979321</v>
      </c>
      <c r="M19" s="6">
        <f>IFERROR('Raw Data'!Y19/'Raw Data'!F19*100,"")</f>
        <v>0.17311455667620052</v>
      </c>
      <c r="N19" s="6">
        <f>IFERROR('Raw Data'!F19/'Raw Data'!Q19,"")</f>
        <v>6.867924528301887</v>
      </c>
    </row>
    <row r="20" spans="1:14">
      <c r="A20" s="23" t="str">
        <f>'Raw Data'!A20</f>
        <v>Omnia Holdings Limited</v>
      </c>
      <c r="B20" s="23" t="str">
        <f>'Raw Data'!B20</f>
        <v>OMN</v>
      </c>
      <c r="C20" s="3" t="str">
        <f>'Raw Data'!C20</f>
        <v>Chemicals &amp; Agriculture</v>
      </c>
      <c r="D20" s="23">
        <f>'Raw Data'!D20</f>
        <v>2024</v>
      </c>
      <c r="E20" s="6">
        <f>IFERROR('Raw Data'!G20/'Raw Data'!F20*100,"")</f>
        <v>7.6646113686484538</v>
      </c>
      <c r="F20" s="6">
        <f>IFERROR('Raw Data'!H20/'Raw Data'!F20*100,"")</f>
        <v>5.220757009766416</v>
      </c>
      <c r="G20" s="6">
        <f>IFERROR('Raw Data'!H20/'Raw Data'!I20*100,"")</f>
        <v>6.6187378751569099</v>
      </c>
      <c r="H20" s="6">
        <f>IFERROR('Raw Data'!H20/'Raw Data'!J20*100,"")</f>
        <v>10.720887245841034</v>
      </c>
      <c r="I20" s="6">
        <f>IFERROR('Raw Data'!K20/'Raw Data'!J20,"")</f>
        <v>1.377079482439926E-2</v>
      </c>
      <c r="J20" s="6">
        <f>IFERROR('Raw Data'!O20/'Raw Data'!F20,"")</f>
        <v>7.055178000810117</v>
      </c>
      <c r="K20" s="6">
        <f>IFERROR('Raw Data'!P20/'Raw Data'!F20,"")</f>
        <v>71.470363202664387</v>
      </c>
      <c r="L20" s="6">
        <f>IFERROR('Raw Data'!O20/'Raw Data'!Q20,"")</f>
        <v>41.735623003194888</v>
      </c>
      <c r="M20" s="6">
        <f>IFERROR('Raw Data'!Y20/'Raw Data'!F20*100,"")</f>
        <v>0.22413249921238576</v>
      </c>
      <c r="N20" s="6">
        <f>IFERROR('Raw Data'!F20/'Raw Data'!Q20,"")</f>
        <v>5.9156017039403617</v>
      </c>
    </row>
    <row r="21" spans="1:14">
      <c r="A21" s="23" t="str">
        <f>'Raw Data'!A21</f>
        <v>Omnia Holdings Limited</v>
      </c>
      <c r="B21" s="23" t="str">
        <f>'Raw Data'!B21</f>
        <v>OMN</v>
      </c>
      <c r="C21" s="3" t="str">
        <f>'Raw Data'!C21</f>
        <v>Chemicals &amp; Agriculture</v>
      </c>
      <c r="D21" s="23">
        <f>'Raw Data'!D21</f>
        <v>2025</v>
      </c>
      <c r="E21" s="6">
        <f>IFERROR('Raw Data'!G21/'Raw Data'!F21*100,"")</f>
        <v>7.4414935577175916</v>
      </c>
      <c r="F21" s="6">
        <f>IFERROR('Raw Data'!H21/'Raw Data'!F21*100,"")</f>
        <v>5.0048207555438688</v>
      </c>
      <c r="G21" s="6">
        <f>IFERROR('Raw Data'!H21/'Raw Data'!I21*100,"")</f>
        <v>6.6484252197706235</v>
      </c>
      <c r="H21" s="6">
        <f>IFERROR('Raw Data'!H21/'Raw Data'!J21*100,"")</f>
        <v>10.951285001917913</v>
      </c>
      <c r="I21" s="6">
        <f>IFERROR('Raw Data'!K21/'Raw Data'!J21,"")</f>
        <v>1.5247410817031071E-2</v>
      </c>
      <c r="J21" s="6">
        <f>IFERROR('Raw Data'!O21/'Raw Data'!F21,"")</f>
        <v>6.1529056008414411</v>
      </c>
      <c r="K21" s="6">
        <f>IFERROR('Raw Data'!P21/'Raw Data'!F21,"")</f>
        <v>69.59418003330704</v>
      </c>
      <c r="L21" s="6">
        <f>IFERROR('Raw Data'!O21/'Raw Data'!Q21,"")</f>
        <v>36.917433605048643</v>
      </c>
      <c r="M21" s="6">
        <f>IFERROR('Raw Data'!Y21/'Raw Data'!F21*100,"")</f>
        <v>0.26075904987290738</v>
      </c>
      <c r="N21" s="6">
        <f>IFERROR('Raw Data'!F21/'Raw Data'!Q21,"")</f>
        <v>6</v>
      </c>
    </row>
    <row r="22" spans="1:14">
      <c r="A22" s="23" t="str">
        <f>'Raw Data'!A22</f>
        <v>Sasol Limited</v>
      </c>
      <c r="B22" s="23" t="str">
        <f>'Raw Data'!B22</f>
        <v>SOL</v>
      </c>
      <c r="C22" s="3" t="str">
        <f>'Raw Data'!C22</f>
        <v>Energy &amp; Chemicals</v>
      </c>
      <c r="D22" s="23">
        <f>'Raw Data'!D22</f>
        <v>2021</v>
      </c>
      <c r="E22" s="6">
        <f>IFERROR('Raw Data'!G22/'Raw Data'!F22*100,"")</f>
        <v>8.2308949531969677</v>
      </c>
      <c r="F22" s="6">
        <f>IFERROR('Raw Data'!H22/'Raw Data'!F22*100,"")</f>
        <v>4.4732801743351001</v>
      </c>
      <c r="G22" s="6">
        <f>IFERROR('Raw Data'!H22/'Raw Data'!I22*100,"")</f>
        <v>2.5037214859331991</v>
      </c>
      <c r="H22" s="6">
        <f>IFERROR('Raw Data'!H22/'Raw Data'!J22*100,"")</f>
        <v>5.9237494343186574</v>
      </c>
      <c r="I22" s="6">
        <f>IFERROR('Raw Data'!K22/'Raw Data'!J22,"")</f>
        <v>0.67488243666008618</v>
      </c>
      <c r="J22" s="6">
        <f>IFERROR('Raw Data'!O22/'Raw Data'!F22,"")</f>
        <v>332.33618939131298</v>
      </c>
      <c r="K22" s="6">
        <f>IFERROR('Raw Data'!P22/'Raw Data'!F22,"")</f>
        <v>683.72046951612106</v>
      </c>
      <c r="L22" s="6">
        <f>IFERROR('Raw Data'!O22/'Raw Data'!Q22,"")</f>
        <v>2336.0139251523065</v>
      </c>
      <c r="M22" s="6">
        <f>IFERROR('Raw Data'!Y22/'Raw Data'!F22*100,"")</f>
        <v>0.26061116338962909</v>
      </c>
      <c r="N22" s="6">
        <f>IFERROR('Raw Data'!F22/'Raw Data'!Q22,"")</f>
        <v>7.0290687554395124</v>
      </c>
    </row>
    <row r="23" spans="1:14">
      <c r="A23" s="23" t="str">
        <f>'Raw Data'!A23</f>
        <v>Sasol Limited</v>
      </c>
      <c r="B23" s="23" t="str">
        <f>'Raw Data'!B23</f>
        <v>SOL</v>
      </c>
      <c r="C23" s="3" t="str">
        <f>'Raw Data'!C23</f>
        <v>Energy &amp; Chemicals</v>
      </c>
      <c r="D23" s="23">
        <f>'Raw Data'!D23</f>
        <v>2022</v>
      </c>
      <c r="E23" s="6">
        <f>IFERROR('Raw Data'!G23/'Raw Data'!F23*100,"")</f>
        <v>22.273680087619407</v>
      </c>
      <c r="F23" s="6">
        <f>IFERROR('Raw Data'!H23/'Raw Data'!F23*100,"")</f>
        <v>14.127904024835169</v>
      </c>
      <c r="G23" s="6">
        <f>IFERROR('Raw Data'!H23/'Raw Data'!I23*100,"")</f>
        <v>9.2852307721643292</v>
      </c>
      <c r="H23" s="6">
        <f>IFERROR('Raw Data'!H23/'Raw Data'!J23*100,"")</f>
        <v>20.163874180240892</v>
      </c>
      <c r="I23" s="6">
        <f>IFERROR('Raw Data'!K23/'Raw Data'!J23,"")</f>
        <v>0.54400430648509035</v>
      </c>
      <c r="J23" s="6">
        <f>IFERROR('Raw Data'!O23/'Raw Data'!F23,"")</f>
        <v>230.5521908478338</v>
      </c>
      <c r="K23" s="6">
        <f>IFERROR('Raw Data'!P23/'Raw Data'!F23,"")</f>
        <v>481.20317112621399</v>
      </c>
      <c r="L23" s="6">
        <f>IFERROR('Raw Data'!O23/'Raw Data'!Q23,"")</f>
        <v>2248.0285724389123</v>
      </c>
      <c r="M23" s="6">
        <f>IFERROR('Raw Data'!Y23/'Raw Data'!F23*100,"")</f>
        <v>0.26956748797771796</v>
      </c>
      <c r="N23" s="6">
        <f>IFERROR('Raw Data'!F23/'Raw Data'!Q23,"")</f>
        <v>9.7506276742459068</v>
      </c>
    </row>
    <row r="24" spans="1:14">
      <c r="A24" s="23" t="str">
        <f>'Raw Data'!A24</f>
        <v>Sasol Limited</v>
      </c>
      <c r="B24" s="23" t="str">
        <f>'Raw Data'!B24</f>
        <v>SOL</v>
      </c>
      <c r="C24" s="3" t="str">
        <f>'Raw Data'!C24</f>
        <v>Energy &amp; Chemicals</v>
      </c>
      <c r="D24" s="23">
        <f>'Raw Data'!D24</f>
        <v>2023</v>
      </c>
      <c r="E24" s="6">
        <f>IFERROR('Raw Data'!G24/'Raw Data'!F24*100,"")</f>
        <v>7.4284767480393237</v>
      </c>
      <c r="F24" s="6">
        <f>IFERROR('Raw Data'!H24/'Raw Data'!F24*100,"")</f>
        <v>3.0373218822489783</v>
      </c>
      <c r="G24" s="6">
        <f>IFERROR('Raw Data'!H24/'Raw Data'!I24*100,"")</f>
        <v>2.0281764160815787</v>
      </c>
      <c r="H24" s="6">
        <f>IFERROR('Raw Data'!H24/'Raw Data'!J24*100,"")</f>
        <v>4.3662293324864532</v>
      </c>
      <c r="I24" s="6">
        <f>IFERROR('Raw Data'!K24/'Raw Data'!J24,"")</f>
        <v>0.61679998412099801</v>
      </c>
      <c r="J24" s="6">
        <f>IFERROR('Raw Data'!O24/'Raw Data'!F24,"")</f>
        <v>222.27438418203911</v>
      </c>
      <c r="K24" s="6">
        <f>IFERROR('Raw Data'!P24/'Raw Data'!F24,"")</f>
        <v>393.93709267646085</v>
      </c>
      <c r="L24" s="6">
        <f>IFERROR('Raw Data'!O24/'Raw Data'!Q24,"")</f>
        <v>2246.9902641588442</v>
      </c>
      <c r="M24" s="6">
        <f>IFERROR('Raw Data'!Y24/'Raw Data'!F24*100,"")</f>
        <v>0.29593090688169665</v>
      </c>
      <c r="N24" s="6">
        <f>IFERROR('Raw Data'!F24/'Raw Data'!Q24,"")</f>
        <v>10.109083295529889</v>
      </c>
    </row>
    <row r="25" spans="1:14">
      <c r="A25" s="23" t="str">
        <f>'Raw Data'!A25</f>
        <v>Sasol Limited</v>
      </c>
      <c r="B25" s="23" t="str">
        <f>'Raw Data'!B25</f>
        <v>SOL</v>
      </c>
      <c r="C25" s="3" t="str">
        <f>'Raw Data'!C25</f>
        <v>Energy &amp; Chemicals</v>
      </c>
      <c r="D25" s="23">
        <f>'Raw Data'!D25</f>
        <v>2024</v>
      </c>
      <c r="E25" s="6">
        <f>IFERROR('Raw Data'!G25/'Raw Data'!F25*100,"")</f>
        <v>-9.9250847839599281</v>
      </c>
      <c r="F25" s="6">
        <f>IFERROR('Raw Data'!H25/'Raw Data'!F25*100,"")</f>
        <v>-16.09205011795239</v>
      </c>
      <c r="G25" s="6">
        <f>IFERROR('Raw Data'!H25/'Raw Data'!I25*100,"")</f>
        <v>-12.129705737300673</v>
      </c>
      <c r="H25" s="6">
        <f>IFERROR('Raw Data'!H25/'Raw Data'!J25*100,"")</f>
        <v>-30.029099147374634</v>
      </c>
      <c r="I25" s="6">
        <f>IFERROR('Raw Data'!K25/'Raw Data'!J25,"")</f>
        <v>0.79903952464609607</v>
      </c>
      <c r="J25" s="6">
        <f>IFERROR('Raw Data'!O25/'Raw Data'!F25,"")</f>
        <v>235.61035363907658</v>
      </c>
      <c r="K25" s="6">
        <f>IFERROR('Raw Data'!P25/'Raw Data'!F25,"")</f>
        <v>467.29138420492092</v>
      </c>
      <c r="L25" s="6">
        <f>IFERROR('Raw Data'!O25/'Raw Data'!Q25,"")</f>
        <v>2341.8960907580026</v>
      </c>
      <c r="M25" s="6">
        <f>IFERROR('Raw Data'!Y25/'Raw Data'!F25*100,"")</f>
        <v>0.25197102260542109</v>
      </c>
      <c r="N25" s="6">
        <f>IFERROR('Raw Data'!F25/'Raw Data'!Q25,"")</f>
        <v>9.9396994002456829</v>
      </c>
    </row>
    <row r="26" spans="1:14">
      <c r="A26" s="23" t="str">
        <f>'Raw Data'!A26</f>
        <v>Sasol Limited</v>
      </c>
      <c r="B26" s="23" t="str">
        <f>'Raw Data'!B26</f>
        <v>SOL</v>
      </c>
      <c r="C26" s="3" t="str">
        <f>'Raw Data'!C26</f>
        <v>Energy &amp; Chemicals</v>
      </c>
      <c r="D26" s="23">
        <f>'Raw Data'!D26</f>
        <v>2025</v>
      </c>
      <c r="E26" s="6">
        <f>IFERROR('Raw Data'!G26/'Raw Data'!F26*100,"")</f>
        <v>7.5549185856055496</v>
      </c>
      <c r="F26" s="6">
        <f>IFERROR('Raw Data'!H26/'Raw Data'!F26*100,"")</f>
        <v>2.7166233098885573</v>
      </c>
      <c r="G26" s="6">
        <f>IFERROR('Raw Data'!H26/'Raw Data'!I26*100,"")</f>
        <v>1.8820486434620574</v>
      </c>
      <c r="H26" s="6">
        <f>IFERROR('Raw Data'!H26/'Raw Data'!J26*100,"")</f>
        <v>4.2934820539175567</v>
      </c>
      <c r="I26" s="6">
        <f>IFERROR('Raw Data'!K26/'Raw Data'!J26,"")</f>
        <v>0.65541110709277905</v>
      </c>
      <c r="J26" s="6">
        <f>IFERROR('Raw Data'!O26/'Raw Data'!F26,"")</f>
        <v>235.76452452066673</v>
      </c>
      <c r="K26" s="6">
        <f>IFERROR('Raw Data'!P26/'Raw Data'!F26,"")</f>
        <v>512.8885249060603</v>
      </c>
      <c r="L26" s="6">
        <f>IFERROR('Raw Data'!O26/'Raw Data'!Q26,"")</f>
        <v>2166.5252517799831</v>
      </c>
      <c r="M26" s="6">
        <f>IFERROR('Raw Data'!Y26/'Raw Data'!F26*100,"")</f>
        <v>0.26628287889006647</v>
      </c>
      <c r="N26" s="6">
        <f>IFERROR('Raw Data'!F26/'Raw Data'!Q26,"")</f>
        <v>9.1893606817427234</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0"/>
  <sheetViews>
    <sheetView tabSelected="1" zoomScaleNormal="100" workbookViewId="0">
      <pane ySplit="5" topLeftCell="A6" activePane="bottomLeft" state="frozen"/>
      <selection pane="bottomLeft" activeCell="G13" sqref="G13"/>
    </sheetView>
  </sheetViews>
  <sheetFormatPr defaultColWidth="8.7109375" defaultRowHeight="15"/>
  <cols>
    <col min="1" max="1" width="22" customWidth="1"/>
    <col min="2" max="6" width="14" customWidth="1"/>
    <col min="7" max="7" width="8.28515625" customWidth="1"/>
    <col min="8" max="8" width="36.28515625" customWidth="1"/>
    <col min="9" max="9" width="14" customWidth="1"/>
    <col min="10" max="10" width="12" customWidth="1"/>
    <col min="11" max="11" width="22" customWidth="1"/>
    <col min="12" max="12" width="7" customWidth="1"/>
  </cols>
  <sheetData>
    <row r="1" spans="1:12" ht="16.149999999999999">
      <c r="A1" s="40" t="s">
        <v>533</v>
      </c>
      <c r="B1" s="40"/>
      <c r="C1" s="40"/>
      <c r="D1" s="40"/>
      <c r="E1" s="40"/>
      <c r="F1" s="40"/>
      <c r="G1" s="40"/>
      <c r="H1" s="40"/>
      <c r="I1" s="40"/>
      <c r="J1" s="40"/>
    </row>
    <row r="2" spans="1:12" ht="60" customHeight="1">
      <c r="A2" s="42" t="s">
        <v>534</v>
      </c>
      <c r="B2" s="42"/>
      <c r="C2" s="42"/>
      <c r="D2" s="42"/>
      <c r="E2" s="42"/>
      <c r="F2" s="42"/>
      <c r="G2" s="42"/>
      <c r="H2" s="42"/>
      <c r="I2" s="42"/>
      <c r="J2" s="42"/>
    </row>
    <row r="4" spans="1:12">
      <c r="A4" s="7" t="s">
        <v>535</v>
      </c>
      <c r="B4" s="24">
        <v>0.2</v>
      </c>
      <c r="C4" s="24">
        <v>0.15</v>
      </c>
      <c r="D4" s="24">
        <v>0.2</v>
      </c>
      <c r="E4" s="24">
        <v>0.15</v>
      </c>
      <c r="F4" s="24">
        <v>0.15</v>
      </c>
      <c r="G4" s="24">
        <v>0.15</v>
      </c>
      <c r="H4" s="25" t="s">
        <v>536</v>
      </c>
      <c r="I4" s="26">
        <f>SUM(B4:G4)</f>
        <v>1</v>
      </c>
    </row>
    <row r="5" spans="1:12" ht="23.85">
      <c r="A5" s="1" t="s">
        <v>537</v>
      </c>
      <c r="B5" s="1" t="s">
        <v>538</v>
      </c>
      <c r="C5" s="1" t="s">
        <v>539</v>
      </c>
      <c r="D5" s="1" t="s">
        <v>540</v>
      </c>
      <c r="E5" s="1" t="s">
        <v>541</v>
      </c>
      <c r="F5" s="1" t="s">
        <v>542</v>
      </c>
      <c r="G5" s="1" t="s">
        <v>543</v>
      </c>
      <c r="H5" s="27" t="s">
        <v>101</v>
      </c>
      <c r="I5" s="27" t="s">
        <v>544</v>
      </c>
      <c r="J5" s="27" t="s">
        <v>545</v>
      </c>
      <c r="K5" s="27" t="s">
        <v>99</v>
      </c>
      <c r="L5" s="27" t="s">
        <v>102</v>
      </c>
    </row>
    <row r="6" spans="1:12">
      <c r="B6" s="28">
        <f>IFERROR(IF(Ratios!J2="","",100-((Ratios!J2-MIN(Ratios!$J$2:$J$26))/(MAX(Ratios!$J$2:$J$26)-MIN(Ratios!$J$2:$J$26))*100)),"")</f>
        <v>90.68754172149545</v>
      </c>
      <c r="C6" s="28">
        <f>IFERROR(IF(Ratios!K2="","",100-((Ratios!K2-MIN(Ratios!$K$2:$K$26))/(MAX(Ratios!$K$2:$K$26)-MIN(Ratios!$K$2:$K$26))*100)),"")</f>
        <v>85.057586245619987</v>
      </c>
      <c r="D6" s="28">
        <f>IFERROR(IF('Raw Data'!S2="","",100-(('Raw Data'!S2-MIN('Raw Data'!$S$2:$S$26))/(MAX('Raw Data'!$S$2:$S$26)-MIN('Raw Data'!$S$2:$S$26))*100)),"")</f>
        <v>47.272727272727266</v>
      </c>
      <c r="E6" s="28">
        <f>IFERROR(IF('Raw Data'!U2="","",100-(('Raw Data'!U2-MIN('Raw Data'!$U$2:$U$26))/(MAX('Raw Data'!$U$2:$U$26)-MIN('Raw Data'!$U$2:$U$26))*100)),"")</f>
        <v>83.333333333333343</v>
      </c>
      <c r="F6" s="28">
        <f>IFERROR(IF('Raw Data'!V2="","",(('Raw Data'!V2-MIN('Raw Data'!$V$2:$V$26))/(MAX('Raw Data'!$V$2:$V$26)-MIN('Raw Data'!$V$2:$V$26))*100)),"")</f>
        <v>0</v>
      </c>
      <c r="G6" s="28">
        <f>IFERROR(IF(Ratios!M2="","",(Ratios!M2-MIN(Ratios!$M$2:$M$26))/(MAX(Ratios!$M$2:$M$26)-MIN(Ratios!$M$2:$M$26))*100),"")</f>
        <v>55.397164658572031</v>
      </c>
      <c r="H6" s="28" t="str">
        <f>'Raw Data'!C2</f>
        <v>Construction Materials &amp; Mining</v>
      </c>
      <c r="I6" s="28">
        <f>IFERROR(SUMPRODUCT(B6:G6,$B$4:$G$4)/SUMPRODUCT(--(B6:G6&lt;&gt;""),$B$4:$G$4),"")</f>
        <v>61.160266434473343</v>
      </c>
      <c r="J6" s="23">
        <f>IFERROR(SUMPRODUCT((($L$6:$L$30=$L$6)*($I$6:$I$30&gt;I6)))+1,"")</f>
        <v>3</v>
      </c>
      <c r="K6" s="25" t="str">
        <f>'Raw Data'!A2</f>
        <v>Afrimat Limited</v>
      </c>
      <c r="L6" s="25">
        <f>'Raw Data'!D2</f>
        <v>2021</v>
      </c>
    </row>
    <row r="7" spans="1:12">
      <c r="B7" s="28">
        <f>IFERROR(IF(Ratios!J3="","",100-((Ratios!J3-MIN(Ratios!$J$2:$J$26))/(MAX(Ratios!$J$2:$J$26)-MIN(Ratios!$J$2:$J$26))*100)),"")</f>
        <v>90.737781384035557</v>
      </c>
      <c r="C7" s="28">
        <f>IFERROR(IF(Ratios!K3="","",100-((Ratios!K3-MIN(Ratios!$K$2:$K$26))/(MAX(Ratios!$K$2:$K$26)-MIN(Ratios!$K$2:$K$26))*100)),"")</f>
        <v>79.91872831034118</v>
      </c>
      <c r="D7" s="28">
        <f>IFERROR(IF('Raw Data'!S3="","",100-(('Raw Data'!S3-MIN('Raw Data'!$S$2:$S$26))/(MAX('Raw Data'!$S$2:$S$26)-MIN('Raw Data'!$S$2:$S$26))*100)),"")</f>
        <v>50</v>
      </c>
      <c r="E7" s="28">
        <f>IFERROR(IF('Raw Data'!U3="","",100-(('Raw Data'!U3-MIN('Raw Data'!$U$2:$U$26))/(MAX('Raw Data'!$U$2:$U$26)-MIN('Raw Data'!$U$2:$U$26))*100)),"")</f>
        <v>83.333333333333343</v>
      </c>
      <c r="F7" s="28">
        <f>IFERROR(IF('Raw Data'!V3="","",(('Raw Data'!V3-MIN('Raw Data'!$V$2:$V$26))/(MAX('Raw Data'!$V$2:$V$26)-MIN('Raw Data'!$V$2:$V$26))*100)),"")</f>
        <v>16.666666666666664</v>
      </c>
      <c r="G7" s="28">
        <f>IFERROR(IF(Ratios!M3="","",(Ratios!M3-MIN(Ratios!$M$2:$M$26))/(MAX(Ratios!$M$2:$M$26)-MIN(Ratios!$M$2:$M$26))*100),"")</f>
        <v>66.01399039333127</v>
      </c>
      <c r="H7" s="28" t="str">
        <f>'Raw Data'!C3</f>
        <v>Construction Materials &amp; Mining</v>
      </c>
      <c r="I7" s="28">
        <f>IFERROR(SUMPRODUCT(B7:G7,$B$4:$G$4)/SUMPRODUCT(--(B7:G7&lt;&gt;""),$B$4:$G$4),"")</f>
        <v>65.037464082357985</v>
      </c>
      <c r="J7" s="23">
        <f>IFERROR(SUMPRODUCT((($L$6:$L$30=$L$7)*($I$6:$I$30&gt;I7)))+1,"")</f>
        <v>3</v>
      </c>
      <c r="K7" s="25" t="str">
        <f>'Raw Data'!A3</f>
        <v>Afrimat Limited</v>
      </c>
      <c r="L7" s="25">
        <f>'Raw Data'!D3</f>
        <v>2022</v>
      </c>
    </row>
    <row r="8" spans="1:12">
      <c r="B8" s="28">
        <f>IFERROR(IF(Ratios!J4="","",100-((Ratios!J4-MIN(Ratios!$J$2:$J$26))/(MAX(Ratios!$J$2:$J$26)-MIN(Ratios!$J$2:$J$26))*100)),"")</f>
        <v>91.706108471444779</v>
      </c>
      <c r="C8" s="28">
        <f>IFERROR(IF(Ratios!K4="","",100-((Ratios!K4-MIN(Ratios!$K$2:$K$26))/(MAX(Ratios!$K$2:$K$26)-MIN(Ratios!$K$2:$K$26))*100)),"")</f>
        <v>62.853314115096708</v>
      </c>
      <c r="D8" s="28">
        <f>IFERROR(IF('Raw Data'!S4="","",100-(('Raw Data'!S4-MIN('Raw Data'!$S$2:$S$26))/(MAX('Raw Data'!$S$2:$S$26)-MIN('Raw Data'!$S$2:$S$26))*100)),"")</f>
        <v>71.818181818181813</v>
      </c>
      <c r="E8" s="28">
        <f>IFERROR(IF('Raw Data'!U4="","",100-(('Raw Data'!U4-MIN('Raw Data'!$U$2:$U$26))/(MAX('Raw Data'!$U$2:$U$26)-MIN('Raw Data'!$U$2:$U$26))*100)),"")</f>
        <v>100</v>
      </c>
      <c r="F8" s="28">
        <f>IFERROR(IF('Raw Data'!V4="","",(('Raw Data'!V4-MIN('Raw Data'!$V$2:$V$26))/(MAX('Raw Data'!$V$2:$V$26)-MIN('Raw Data'!$V$2:$V$26))*100)),"")</f>
        <v>21.428571428571427</v>
      </c>
      <c r="G8" s="28">
        <f>IFERROR(IF(Ratios!M4="","",(Ratios!M4-MIN(Ratios!$M$2:$M$26))/(MAX(Ratios!$M$2:$M$26)-MIN(Ratios!$M$2:$M$26))*100),"")</f>
        <v>84.36773957919938</v>
      </c>
      <c r="H8" s="28" t="str">
        <f>'Raw Data'!C4</f>
        <v>Construction Materials &amp; Mining</v>
      </c>
      <c r="I8" s="28">
        <f>IFERROR(SUMPRODUCT(B8:G8,$B$4:$G$4)/SUMPRODUCT(--(B8:G8&lt;&gt;""),$B$4:$G$4),"")</f>
        <v>73.002301826355449</v>
      </c>
      <c r="J8" s="23">
        <f>IFERROR(SUMPRODUCT((($L$6:$L$30=$L$8)*($I$6:$I$30&gt;I8)))+1,"")</f>
        <v>3</v>
      </c>
      <c r="K8" s="25" t="str">
        <f>'Raw Data'!A4</f>
        <v>Afrimat Limited</v>
      </c>
      <c r="L8" s="25">
        <f>'Raw Data'!D4</f>
        <v>2023</v>
      </c>
    </row>
    <row r="9" spans="1:12">
      <c r="B9" s="28">
        <f>IFERROR(IF(Ratios!J5="","",100-((Ratios!J5-MIN(Ratios!$J$2:$J$26))/(MAX(Ratios!$J$2:$J$26)-MIN(Ratios!$J$2:$J$26))*100)),"")</f>
        <v>92.952780726915393</v>
      </c>
      <c r="C9" s="28">
        <f>IFERROR(IF(Ratios!K5="","",100-((Ratios!K5-MIN(Ratios!$K$2:$K$26))/(MAX(Ratios!$K$2:$K$26)-MIN(Ratios!$K$2:$K$26))*100)),"")</f>
        <v>66.179148267421141</v>
      </c>
      <c r="D9" s="28">
        <f>IFERROR(IF('Raw Data'!S5="","",100-(('Raw Data'!S5-MIN('Raw Data'!$S$2:$S$26))/(MAX('Raw Data'!$S$2:$S$26)-MIN('Raw Data'!$S$2:$S$26))*100)),"")</f>
        <v>76.36363636363636</v>
      </c>
      <c r="E9" s="28">
        <f>IFERROR(IF('Raw Data'!U5="","",100-(('Raw Data'!U5-MIN('Raw Data'!$U$2:$U$26))/(MAX('Raw Data'!$U$2:$U$26)-MIN('Raw Data'!$U$2:$U$26))*100)),"")</f>
        <v>100</v>
      </c>
      <c r="F9" s="28">
        <f>IFERROR(IF('Raw Data'!V5="","",(('Raw Data'!V5-MIN('Raw Data'!$V$2:$V$26))/(MAX('Raw Data'!$V$2:$V$26)-MIN('Raw Data'!$V$2:$V$26))*100)),"")</f>
        <v>21.428571428571427</v>
      </c>
      <c r="G9" s="28">
        <f>IFERROR(IF(Ratios!M5="","",(Ratios!M5-MIN(Ratios!$M$2:$M$26))/(MAX(Ratios!$M$2:$M$26)-MIN(Ratios!$M$2:$M$26))*100),"")</f>
        <v>100</v>
      </c>
      <c r="H9" s="28" t="str">
        <f>'Raw Data'!C5</f>
        <v>Construction Materials &amp; Mining</v>
      </c>
      <c r="I9" s="28">
        <f>IFERROR(SUMPRODUCT(B9:G9,$B$4:$G$4)/SUMPRODUCT(--(B9:G9&lt;&gt;""),$B$4:$G$4),"")</f>
        <v>77.004441372509234</v>
      </c>
      <c r="J9" s="23">
        <f>IFERROR(SUMPRODUCT((($L$6:$L$30=$L$9)*($I$6:$I$30&gt;I9)))+1,"")</f>
        <v>2</v>
      </c>
      <c r="K9" s="25" t="str">
        <f>'Raw Data'!A5</f>
        <v>Afrimat Limited</v>
      </c>
      <c r="L9" s="25">
        <f>'Raw Data'!D5</f>
        <v>2024</v>
      </c>
    </row>
    <row r="10" spans="1:12">
      <c r="B10" s="28">
        <f>IFERROR(IF(Ratios!J6="","",100-((Ratios!J6-MIN(Ratios!$J$2:$J$26))/(MAX(Ratios!$J$2:$J$26)-MIN(Ratios!$J$2:$J$26))*100)),"")</f>
        <v>94.394358434023999</v>
      </c>
      <c r="C10" s="28">
        <f>IFERROR(IF(Ratios!K6="","",100-((Ratios!K6-MIN(Ratios!$K$2:$K$26))/(MAX(Ratios!$K$2:$K$26)-MIN(Ratios!$K$2:$K$26))*100)),"")</f>
        <v>70.824890418369648</v>
      </c>
      <c r="D10" s="28">
        <f>IFERROR(IF('Raw Data'!S6="","",100-(('Raw Data'!S6-MIN('Raw Data'!$S$2:$S$26))/(MAX('Raw Data'!$S$2:$S$26)-MIN('Raw Data'!$S$2:$S$26))*100)),"")</f>
        <v>78.181818181818173</v>
      </c>
      <c r="E10" s="28">
        <f>IFERROR(IF('Raw Data'!U6="","",100-(('Raw Data'!U6-MIN('Raw Data'!$U$2:$U$26))/(MAX('Raw Data'!$U$2:$U$26)-MIN('Raw Data'!$U$2:$U$26))*100)),"")</f>
        <v>100</v>
      </c>
      <c r="F10" s="28">
        <f>IFERROR(IF('Raw Data'!V6="","",(('Raw Data'!V6-MIN('Raw Data'!$V$2:$V$26))/(MAX('Raw Data'!$V$2:$V$26)-MIN('Raw Data'!$V$2:$V$26))*100)),"")</f>
        <v>21.428571428571427</v>
      </c>
      <c r="G10" s="28">
        <f>IFERROR(IF(Ratios!M6="","",(Ratios!M6-MIN(Ratios!$M$2:$M$26))/(MAX(Ratios!$M$2:$M$26)-MIN(Ratios!$M$2:$M$26))*100),"")</f>
        <v>60.637238594145394</v>
      </c>
      <c r="H10" s="28" t="str">
        <f>'Raw Data'!C6</f>
        <v>Construction Materials &amp; Mining</v>
      </c>
      <c r="I10" s="28">
        <f>IFERROR(SUMPRODUCT(B10:G10,$B$4:$G$4)/SUMPRODUCT(--(B10:G10&lt;&gt;""),$B$4:$G$4),"")</f>
        <v>72.448840389331409</v>
      </c>
      <c r="J10" s="23">
        <f>IFERROR(SUMPRODUCT((($L$6:$L$30=$L$10)*($I$6:$I$30&gt;I10)))+1,"")</f>
        <v>3</v>
      </c>
      <c r="K10" s="25" t="str">
        <f>'Raw Data'!A6</f>
        <v>Afrimat Limited</v>
      </c>
      <c r="L10" s="25">
        <f>'Raw Data'!D6</f>
        <v>2025</v>
      </c>
    </row>
    <row r="11" spans="1:12">
      <c r="B11" s="28">
        <f>IFERROR(IF(Ratios!J7="","",100-((Ratios!J7-MIN(Ratios!$J$2:$J$26))/(MAX(Ratios!$J$2:$J$26)-MIN(Ratios!$J$2:$J$26))*100)),"")</f>
        <v>95.986935517283143</v>
      </c>
      <c r="C11" s="28">
        <f>IFERROR(IF(Ratios!K7="","",100-((Ratios!K7-MIN(Ratios!$K$2:$K$26))/(MAX(Ratios!$K$2:$K$26)-MIN(Ratios!$K$2:$K$26))*100)),"")</f>
        <v>96.458473677722836</v>
      </c>
      <c r="D11" s="28">
        <f>IFERROR(IF('Raw Data'!S7="","",100-(('Raw Data'!S7-MIN('Raw Data'!$S$2:$S$26))/(MAX('Raw Data'!$S$2:$S$26)-MIN('Raw Data'!$S$2:$S$26))*100)),"")</f>
        <v>81.818181818181813</v>
      </c>
      <c r="E11" s="28">
        <f>IFERROR(IF('Raw Data'!U7="","",100-(('Raw Data'!U7-MIN('Raw Data'!$U$2:$U$26))/(MAX('Raw Data'!$U$2:$U$26)-MIN('Raw Data'!$U$2:$U$26))*100)),"")</f>
        <v>83.333333333333343</v>
      </c>
      <c r="F11" s="28">
        <f>IFERROR(IF('Raw Data'!V7="","",(('Raw Data'!V7-MIN('Raw Data'!$V$2:$V$26))/(MAX('Raw Data'!$V$2:$V$26)-MIN('Raw Data'!$V$2:$V$26))*100)),"")</f>
        <v>66.666666666666657</v>
      </c>
      <c r="G11" s="28">
        <f>IFERROR(IF(Ratios!M7="","",(Ratios!M7-MIN(Ratios!$M$2:$M$26))/(MAX(Ratios!$M$2:$M$26)-MIN(Ratios!$M$2:$M$26))*100),"")</f>
        <v>8.0744611750724626</v>
      </c>
      <c r="H11" s="28" t="str">
        <f>'Raw Data'!C7</f>
        <v>Chemicals</v>
      </c>
      <c r="I11" s="28">
        <f>IFERROR(SUMPRODUCT(B11:G11,$B$4:$G$4)/SUMPRODUCT(--(B11:G11&lt;&gt;""),$B$4:$G$4),"")</f>
        <v>73.740963695012283</v>
      </c>
      <c r="J11" s="23">
        <f>IFERROR(SUMPRODUCT((($L$6:$L$30=$L$11)*($I$6:$I$30&gt;I11)))+1,"")</f>
        <v>1</v>
      </c>
      <c r="K11" s="25" t="str">
        <f>'Raw Data'!A7</f>
        <v>AECI Limited</v>
      </c>
      <c r="L11" s="25">
        <f>'Raw Data'!D7</f>
        <v>2021</v>
      </c>
    </row>
    <row r="12" spans="1:12">
      <c r="B12" s="28">
        <f>IFERROR(IF(Ratios!J8="","",100-((Ratios!J8-MIN(Ratios!$J$2:$J$26))/(MAX(Ratios!$J$2:$J$26)-MIN(Ratios!$J$2:$J$26))*100)),"")</f>
        <v>97.631841894453999</v>
      </c>
      <c r="C12" s="28">
        <f>IFERROR(IF(Ratios!K8="","",100-((Ratios!K8-MIN(Ratios!$K$2:$K$26))/(MAX(Ratios!$K$2:$K$26)-MIN(Ratios!$K$2:$K$26))*100)),"")</f>
        <v>99.118510369389028</v>
      </c>
      <c r="D12" s="28">
        <f>IFERROR(IF('Raw Data'!S8="","",100-(('Raw Data'!S8-MIN('Raw Data'!$S$2:$S$26))/(MAX('Raw Data'!$S$2:$S$26)-MIN('Raw Data'!$S$2:$S$26))*100)),"")</f>
        <v>89.090909090909093</v>
      </c>
      <c r="E12" s="28">
        <f>IFERROR(IF('Raw Data'!U8="","",100-(('Raw Data'!U8-MIN('Raw Data'!$U$2:$U$26))/(MAX('Raw Data'!$U$2:$U$26)-MIN('Raw Data'!$U$2:$U$26))*100)),"")</f>
        <v>83.333333333333343</v>
      </c>
      <c r="F12" s="28">
        <f>IFERROR(IF('Raw Data'!V8="","",(('Raw Data'!V8-MIN('Raw Data'!$V$2:$V$26))/(MAX('Raw Data'!$V$2:$V$26)-MIN('Raw Data'!$V$2:$V$26))*100)),"")</f>
        <v>76.19047619047619</v>
      </c>
      <c r="G12" s="28">
        <f>IFERROR(IF(Ratios!M8="","",(Ratios!M8-MIN(Ratios!$M$2:$M$26))/(MAX(Ratios!$M$2:$M$26)-MIN(Ratios!$M$2:$M$26))*100),"")</f>
        <v>5.3550519602864251</v>
      </c>
      <c r="H12" s="28" t="str">
        <f>'Raw Data'!C8</f>
        <v>Chemicals</v>
      </c>
      <c r="I12" s="28">
        <f>IFERROR(SUMPRODUCT(B12:G12,$B$4:$G$4)/SUMPRODUCT(--(B12:G12&lt;&gt;""),$B$4:$G$4),"")</f>
        <v>76.94415597509537</v>
      </c>
      <c r="J12" s="23">
        <f>IFERROR(SUMPRODUCT((($L$6:$L$30=$L$12)*($I$6:$I$30&gt;I12)))+1,"")</f>
        <v>1</v>
      </c>
      <c r="K12" s="25" t="str">
        <f>'Raw Data'!A8</f>
        <v>AECI Limited</v>
      </c>
      <c r="L12" s="25">
        <f>'Raw Data'!D8</f>
        <v>2022</v>
      </c>
    </row>
    <row r="13" spans="1:12">
      <c r="B13" s="28">
        <f>IFERROR(IF(Ratios!J9="","",100-((Ratios!J9-MIN(Ratios!$J$2:$J$26))/(MAX(Ratios!$J$2:$J$26)-MIN(Ratios!$J$2:$J$26))*100)),"")</f>
        <v>98.290089853467791</v>
      </c>
      <c r="C13" s="28">
        <f>IFERROR(IF(Ratios!K9="","",100-((Ratios!K9-MIN(Ratios!$K$2:$K$26))/(MAX(Ratios!$K$2:$K$26)-MIN(Ratios!$K$2:$K$26))*100)),"")</f>
        <v>100</v>
      </c>
      <c r="D13" s="28">
        <f>IFERROR(IF('Raw Data'!S9="","",100-(('Raw Data'!S9-MIN('Raw Data'!$S$2:$S$26))/(MAX('Raw Data'!$S$2:$S$26)-MIN('Raw Data'!$S$2:$S$26))*100)),"")</f>
        <v>70.909090909090907</v>
      </c>
      <c r="E13" s="28">
        <f>IFERROR(IF('Raw Data'!U9="","",100-(('Raw Data'!U9-MIN('Raw Data'!$U$2:$U$26))/(MAX('Raw Data'!$U$2:$U$26)-MIN('Raw Data'!$U$2:$U$26))*100)),"")</f>
        <v>83.333333333333343</v>
      </c>
      <c r="F13" s="28">
        <f>IFERROR(IF('Raw Data'!V9="","",(('Raw Data'!V9-MIN('Raw Data'!$V$2:$V$26))/(MAX('Raw Data'!$V$2:$V$26)-MIN('Raw Data'!$V$2:$V$26))*100)),"")</f>
        <v>100</v>
      </c>
      <c r="G13" s="28">
        <f>IFERROR(IF(Ratios!M9="","",(Ratios!M9-MIN(Ratios!$M$2:$M$26))/(MAX(Ratios!$M$2:$M$26)-MIN(Ratios!$M$2:$M$26))*100),"")</f>
        <v>5.7763476283136246</v>
      </c>
      <c r="H13" s="28" t="str">
        <f>'Raw Data'!C9</f>
        <v>Chemicals</v>
      </c>
      <c r="I13" s="28">
        <f>IFERROR(SUMPRODUCT(B13:G13,$B$4:$G$4)/SUMPRODUCT(--(B13:G13&lt;&gt;""),$B$4:$G$4),"")</f>
        <v>77.206288296758785</v>
      </c>
      <c r="J13" s="23">
        <f>IFERROR(SUMPRODUCT((($L$6:$L$30=$L$13)*($I$6:$I$30&gt;I13)))+1,"")</f>
        <v>2</v>
      </c>
      <c r="K13" s="25" t="str">
        <f>'Raw Data'!A9</f>
        <v>AECI Limited</v>
      </c>
      <c r="L13" s="25">
        <f>'Raw Data'!D9</f>
        <v>2023</v>
      </c>
    </row>
    <row r="14" spans="1:12">
      <c r="B14" s="28">
        <f>IFERROR(IF(Ratios!J10="","",100-((Ratios!J10-MIN(Ratios!$J$2:$J$26))/(MAX(Ratios!$J$2:$J$26)-MIN(Ratios!$J$2:$J$26))*100)),"")</f>
        <v>98.087328672431582</v>
      </c>
      <c r="C14" s="28">
        <f>IFERROR(IF(Ratios!K10="","",100-((Ratios!K10-MIN(Ratios!$K$2:$K$26))/(MAX(Ratios!$K$2:$K$26)-MIN(Ratios!$K$2:$K$26))*100)),"")</f>
        <v>99.376374956112869</v>
      </c>
      <c r="D14" s="28">
        <f>IFERROR(IF('Raw Data'!S10="","",100-(('Raw Data'!S10-MIN('Raw Data'!$S$2:$S$26))/(MAX('Raw Data'!$S$2:$S$26)-MIN('Raw Data'!$S$2:$S$26))*100)),"")</f>
        <v>74.545454545454547</v>
      </c>
      <c r="E14" s="28">
        <f>IFERROR(IF('Raw Data'!U10="","",100-(('Raw Data'!U10-MIN('Raw Data'!$U$2:$U$26))/(MAX('Raw Data'!$U$2:$U$26)-MIN('Raw Data'!$U$2:$U$26))*100)),"")</f>
        <v>83.333333333333343</v>
      </c>
      <c r="F14" s="28">
        <f>IFERROR(IF('Raw Data'!V10="","",(('Raw Data'!V10-MIN('Raw Data'!$V$2:$V$26))/(MAX('Raw Data'!$V$2:$V$26)-MIN('Raw Data'!$V$2:$V$26))*100)),"")</f>
        <v>85.714285714285708</v>
      </c>
      <c r="G14" s="28">
        <f>IFERROR(IF(Ratios!M10="","",(Ratios!M10-MIN(Ratios!$M$2:$M$26))/(MAX(Ratios!$M$2:$M$26)-MIN(Ratios!$M$2:$M$26))*100),"")</f>
        <v>3.9110019115107488</v>
      </c>
      <c r="H14" s="28" t="str">
        <f>'Raw Data'!C10</f>
        <v>Chemicals</v>
      </c>
      <c r="I14" s="28">
        <f>IFERROR(SUMPRODUCT(B14:G14,$B$4:$G$4)/SUMPRODUCT(--(B14:G14&lt;&gt;""),$B$4:$G$4),"")</f>
        <v>75.376806030863619</v>
      </c>
      <c r="J14" s="23">
        <f>IFERROR(SUMPRODUCT((($L$6:$L$30=$L$14)*($I$6:$I$30&gt;I14)))+1,"")</f>
        <v>3</v>
      </c>
      <c r="K14" s="25" t="str">
        <f>'Raw Data'!A10</f>
        <v>AECI Limited</v>
      </c>
      <c r="L14" s="25">
        <f>'Raw Data'!D10</f>
        <v>2024</v>
      </c>
    </row>
    <row r="15" spans="1:12">
      <c r="B15" s="28">
        <f>IFERROR(IF(Ratios!J11="","",100-((Ratios!J11-MIN(Ratios!$J$2:$J$26))/(MAX(Ratios!$J$2:$J$26)-MIN(Ratios!$J$2:$J$26))*100)),"")</f>
        <v>98.404571224760289</v>
      </c>
      <c r="C15" s="28">
        <f>IFERROR(IF(Ratios!K11="","",100-((Ratios!K11-MIN(Ratios!$K$2:$K$26))/(MAX(Ratios!$K$2:$K$26)-MIN(Ratios!$K$2:$K$26))*100)),"")</f>
        <v>99.45144801955162</v>
      </c>
      <c r="D15" s="28">
        <f>IFERROR(IF('Raw Data'!S11="","",100-(('Raw Data'!S11-MIN('Raw Data'!$S$2:$S$26))/(MAX('Raw Data'!$S$2:$S$26)-MIN('Raw Data'!$S$2:$S$26))*100)),"")</f>
        <v>84.545454545454547</v>
      </c>
      <c r="E15" s="28" t="str">
        <f>IFERROR(IF('Raw Data'!U11="","",100-(('Raw Data'!U11-MIN('Raw Data'!$U$2:$U$26))/(MAX('Raw Data'!$U$2:$U$26)-MIN('Raw Data'!$U$2:$U$26))*100)),"")</f>
        <v/>
      </c>
      <c r="F15" s="28">
        <f>IFERROR(IF('Raw Data'!V11="","",(('Raw Data'!V11-MIN('Raw Data'!$V$2:$V$26))/(MAX('Raw Data'!$V$2:$V$26)-MIN('Raw Data'!$V$2:$V$26))*100)),"")</f>
        <v>100</v>
      </c>
      <c r="G15" s="28">
        <f>IFERROR(IF(Ratios!M11="","",(Ratios!M11-MIN(Ratios!$M$2:$M$26))/(MAX(Ratios!$M$2:$M$26)-MIN(Ratios!$M$2:$M$26))*100),"")</f>
        <v>5.4237747719037239</v>
      </c>
      <c r="H15" s="28" t="str">
        <f>'Raw Data'!C11</f>
        <v>Chemicals</v>
      </c>
      <c r="I15" s="28">
        <f>IFERROR(SUMPRODUCT(B15:G15,$B$4:$G$4)/SUMPRODUCT(--(B15:G15&lt;&gt;""),$B$4:$G$4),"")</f>
        <v>79.201515967954421</v>
      </c>
      <c r="J15" s="23">
        <f>IFERROR(SUMPRODUCT((($L$6:$L$30=$L$15)*($I$6:$I$30&gt;I15)))+1,"")</f>
        <v>1</v>
      </c>
      <c r="K15" s="25" t="str">
        <f>'Raw Data'!A11</f>
        <v>AECI Limited</v>
      </c>
      <c r="L15" s="25">
        <f>'Raw Data'!D11</f>
        <v>2025</v>
      </c>
    </row>
    <row r="16" spans="1:12">
      <c r="B16" s="28">
        <f>IFERROR(IF(Ratios!J12="","",100-((Ratios!J12-MIN(Ratios!$J$2:$J$26))/(MAX(Ratios!$J$2:$J$26)-MIN(Ratios!$J$2:$J$26))*100)),"")</f>
        <v>36.95470729700412</v>
      </c>
      <c r="C16" s="28">
        <f>IFERROR(IF(Ratios!K12="","",100-((Ratios!K12-MIN(Ratios!$K$2:$K$26))/(MAX(Ratios!$K$2:$K$26)-MIN(Ratios!$K$2:$K$26))*100)),"")</f>
        <v>59.62789247694181</v>
      </c>
      <c r="D16" s="28">
        <f>IFERROR(IF('Raw Data'!S12="","",100-(('Raw Data'!S12-MIN('Raw Data'!$S$2:$S$26))/(MAX('Raw Data'!$S$2:$S$26)-MIN('Raw Data'!$S$2:$S$26))*100)),"")</f>
        <v>13.63636363636364</v>
      </c>
      <c r="E16" s="28">
        <f>IFERROR(IF('Raw Data'!U12="","",100-(('Raw Data'!U12-MIN('Raw Data'!$U$2:$U$26))/(MAX('Raw Data'!$U$2:$U$26)-MIN('Raw Data'!$U$2:$U$26))*100)),"")</f>
        <v>0</v>
      </c>
      <c r="F16" s="28">
        <f>IFERROR(IF('Raw Data'!V12="","",(('Raw Data'!V12-MIN('Raw Data'!$V$2:$V$26))/(MAX('Raw Data'!$V$2:$V$26)-MIN('Raw Data'!$V$2:$V$26))*100)),"")</f>
        <v>88.095238095238088</v>
      </c>
      <c r="G16" s="28">
        <f>IFERROR(IF(Ratios!M12="","",(Ratios!M12-MIN(Ratios!$M$2:$M$26))/(MAX(Ratios!$M$2:$M$26)-MIN(Ratios!$M$2:$M$26))*100),"")</f>
        <v>0</v>
      </c>
      <c r="H16" s="28" t="str">
        <f>'Raw Data'!C12</f>
        <v>Steel &amp; Metals</v>
      </c>
      <c r="I16" s="28">
        <f>IFERROR(SUMPRODUCT(B16:G16,$B$4:$G$4)/SUMPRODUCT(--(B16:G16&lt;&gt;""),$B$4:$G$4),"")</f>
        <v>32.27668377250054</v>
      </c>
      <c r="J16" s="23">
        <f>IFERROR(SUMPRODUCT((($L$6:$L$30=$L$16)*($I$6:$I$30&gt;I16)))+1,"")</f>
        <v>5</v>
      </c>
      <c r="K16" s="25" t="str">
        <f>'Raw Data'!A12</f>
        <v>ArcelorMittal South Africa</v>
      </c>
      <c r="L16" s="25">
        <f>'Raw Data'!D12</f>
        <v>2021</v>
      </c>
    </row>
    <row r="17" spans="2:12">
      <c r="B17" s="28">
        <f>IFERROR(IF(Ratios!J13="","",100-((Ratios!J13-MIN(Ratios!$J$2:$J$26))/(MAX(Ratios!$J$2:$J$26)-MIN(Ratios!$J$2:$J$26))*100)),"")</f>
        <v>39.09880200092546</v>
      </c>
      <c r="C17" s="28">
        <f>IFERROR(IF(Ratios!K13="","",100-((Ratios!K13-MIN(Ratios!$K$2:$K$26))/(MAX(Ratios!$K$2:$K$26)-MIN(Ratios!$K$2:$K$26))*100)),"")</f>
        <v>63.175554741927023</v>
      </c>
      <c r="D17" s="28">
        <f>IFERROR(IF('Raw Data'!S13="","",100-(('Raw Data'!S13-MIN('Raw Data'!$S$2:$S$26))/(MAX('Raw Data'!$S$2:$S$26)-MIN('Raw Data'!$S$2:$S$26))*100)),"")</f>
        <v>23.636363636363626</v>
      </c>
      <c r="E17" s="28">
        <f>IFERROR(IF('Raw Data'!U13="","",100-(('Raw Data'!U13-MIN('Raw Data'!$U$2:$U$26))/(MAX('Raw Data'!$U$2:$U$26)-MIN('Raw Data'!$U$2:$U$26))*100)),"")</f>
        <v>33.333333333333343</v>
      </c>
      <c r="F17" s="28">
        <f>IFERROR(IF('Raw Data'!V13="","",(('Raw Data'!V13-MIN('Raw Data'!$V$2:$V$26))/(MAX('Raw Data'!$V$2:$V$26)-MIN('Raw Data'!$V$2:$V$26))*100)),"")</f>
        <v>80.952380952380949</v>
      </c>
      <c r="G17" s="28">
        <f>IFERROR(IF(Ratios!M13="","",(Ratios!M13-MIN(Ratios!$M$2:$M$26))/(MAX(Ratios!$M$2:$M$26)-MIN(Ratios!$M$2:$M$26))*100),"")</f>
        <v>0.16445745294746364</v>
      </c>
      <c r="H17" s="28" t="str">
        <f>'Raw Data'!C13</f>
        <v>Steel &amp; Metals</v>
      </c>
      <c r="I17" s="28">
        <f>IFERROR(SUMPRODUCT(B17:G17,$B$4:$G$4)/SUMPRODUCT(--(B17:G17&lt;&gt;""),$B$4:$G$4),"")</f>
        <v>39.190892099546133</v>
      </c>
      <c r="J17" s="23">
        <f>IFERROR(SUMPRODUCT((($L$6:$L$30=$L$17)*($I$6:$I$30&gt;I17)))+1,"")</f>
        <v>5</v>
      </c>
      <c r="K17" s="25" t="str">
        <f>'Raw Data'!A13</f>
        <v>ArcelorMittal South Africa</v>
      </c>
      <c r="L17" s="25">
        <f>'Raw Data'!D13</f>
        <v>2022</v>
      </c>
    </row>
    <row r="18" spans="2:12">
      <c r="B18" s="28">
        <f>IFERROR(IF(Ratios!J14="","",100-((Ratios!J14-MIN(Ratios!$J$2:$J$26))/(MAX(Ratios!$J$2:$J$26)-MIN(Ratios!$J$2:$J$26))*100)),"")</f>
        <v>31.789917164740274</v>
      </c>
      <c r="C18" s="28">
        <f>IFERROR(IF(Ratios!K14="","",100-((Ratios!K14-MIN(Ratios!$K$2:$K$26))/(MAX(Ratios!$K$2:$K$26)-MIN(Ratios!$K$2:$K$26))*100)),"")</f>
        <v>66.177385408855059</v>
      </c>
      <c r="D18" s="28">
        <f>IFERROR(IF('Raw Data'!S14="","",100-(('Raw Data'!S14-MIN('Raw Data'!$S$2:$S$26))/(MAX('Raw Data'!$S$2:$S$26)-MIN('Raw Data'!$S$2:$S$26))*100)),"")</f>
        <v>32.72727272727272</v>
      </c>
      <c r="E18" s="28">
        <f>IFERROR(IF('Raw Data'!U14="","",100-(('Raw Data'!U14-MIN('Raw Data'!$U$2:$U$26))/(MAX('Raw Data'!$U$2:$U$26)-MIN('Raw Data'!$U$2:$U$26))*100)),"")</f>
        <v>33.333333333333343</v>
      </c>
      <c r="F18" s="28">
        <f>IFERROR(IF('Raw Data'!V14="","",(('Raw Data'!V14-MIN('Raw Data'!$V$2:$V$26))/(MAX('Raw Data'!$V$2:$V$26)-MIN('Raw Data'!$V$2:$V$26))*100)),"")</f>
        <v>52.380952380952387</v>
      </c>
      <c r="G18" s="28">
        <f>IFERROR(IF(Ratios!M14="","",(Ratios!M14-MIN(Ratios!$M$2:$M$26))/(MAX(Ratios!$M$2:$M$26)-MIN(Ratios!$M$2:$M$26))*100),"")</f>
        <v>5.066967242681697E-2</v>
      </c>
      <c r="H18" s="28" t="str">
        <f>'Raw Data'!C14</f>
        <v>Steel &amp; Metals</v>
      </c>
      <c r="I18" s="28">
        <f>IFERROR(SUMPRODUCT(B18:G18,$B$4:$G$4)/SUMPRODUCT(--(B18:G18&lt;&gt;""),$B$4:$G$4),"")</f>
        <v>35.69478909773774</v>
      </c>
      <c r="J18" s="23">
        <f>IFERROR(SUMPRODUCT((($L$6:$L$30=$L$18)*($I$6:$I$30&gt;I18)))+1,"")</f>
        <v>5</v>
      </c>
      <c r="K18" s="25" t="str">
        <f>'Raw Data'!A14</f>
        <v>ArcelorMittal South Africa</v>
      </c>
      <c r="L18" s="25">
        <f>'Raw Data'!D14</f>
        <v>2023</v>
      </c>
    </row>
    <row r="19" spans="2:12">
      <c r="B19" s="28">
        <f>IFERROR(IF(Ratios!J15="","",100-((Ratios!J15-MIN(Ratios!$J$2:$J$26))/(MAX(Ratios!$J$2:$J$26)-MIN(Ratios!$J$2:$J$26))*100)),"")</f>
        <v>31.588932242499155</v>
      </c>
      <c r="C19" s="28">
        <f>IFERROR(IF(Ratios!K15="","",100-((Ratios!K15-MIN(Ratios!$K$2:$K$26))/(MAX(Ratios!$K$2:$K$26)-MIN(Ratios!$K$2:$K$26))*100)),"")</f>
        <v>59.914239584781498</v>
      </c>
      <c r="D19" s="28">
        <f>IFERROR(IF('Raw Data'!S15="","",100-(('Raw Data'!S15-MIN('Raw Data'!$S$2:$S$26))/(MAX('Raw Data'!$S$2:$S$26)-MIN('Raw Data'!$S$2:$S$26))*100)),"")</f>
        <v>0</v>
      </c>
      <c r="E19" s="28">
        <f>IFERROR(IF('Raw Data'!U15="","",100-(('Raw Data'!U15-MIN('Raw Data'!$U$2:$U$26))/(MAX('Raw Data'!$U$2:$U$26)-MIN('Raw Data'!$U$2:$U$26))*100)),"")</f>
        <v>16.666666666666657</v>
      </c>
      <c r="F19" s="28">
        <f>IFERROR(IF('Raw Data'!V15="","",(('Raw Data'!V15-MIN('Raw Data'!$V$2:$V$26))/(MAX('Raw Data'!$V$2:$V$26)-MIN('Raw Data'!$V$2:$V$26))*100)),"")</f>
        <v>50</v>
      </c>
      <c r="G19" s="28">
        <f>IFERROR(IF(Ratios!M15="","",(Ratios!M15-MIN(Ratios!$M$2:$M$26))/(MAX(Ratios!$M$2:$M$26)-MIN(Ratios!$M$2:$M$26))*100),"")</f>
        <v>0.27308634448162838</v>
      </c>
      <c r="H19" s="28" t="str">
        <f>'Raw Data'!C15</f>
        <v>Steel &amp; Metals</v>
      </c>
      <c r="I19" s="28">
        <f>IFERROR(SUMPRODUCT(B19:G19,$B$4:$G$4)/SUMPRODUCT(--(B19:G19&lt;&gt;""),$B$4:$G$4),"")</f>
        <v>25.3458853378893</v>
      </c>
      <c r="J19" s="23">
        <f>IFERROR(SUMPRODUCT((($L$6:$L$30=$L$19)*($I$6:$I$30&gt;I19)))+1,"")</f>
        <v>5</v>
      </c>
      <c r="K19" s="25" t="str">
        <f>'Raw Data'!A15</f>
        <v>ArcelorMittal South Africa</v>
      </c>
      <c r="L19" s="25">
        <f>'Raw Data'!D15</f>
        <v>2024</v>
      </c>
    </row>
    <row r="20" spans="2:12">
      <c r="B20" s="28">
        <f>IFERROR(IF(Ratios!J16="","",100-((Ratios!J16-MIN(Ratios!$J$2:$J$26))/(MAX(Ratios!$J$2:$J$26)-MIN(Ratios!$J$2:$J$26))*100)),"")</f>
        <v>30.585149796407975</v>
      </c>
      <c r="C20" s="28">
        <f>IFERROR(IF(Ratios!K16="","",100-((Ratios!K16-MIN(Ratios!$K$2:$K$26))/(MAX(Ratios!$K$2:$K$26)-MIN(Ratios!$K$2:$K$26))*100)),"")</f>
        <v>45.829364628938421</v>
      </c>
      <c r="D20" s="28">
        <f>IFERROR(IF('Raw Data'!S16="","",100-(('Raw Data'!S16-MIN('Raw Data'!$S$2:$S$26))/(MAX('Raw Data'!$S$2:$S$26)-MIN('Raw Data'!$S$2:$S$26))*100)),"")</f>
        <v>46.36363636363636</v>
      </c>
      <c r="E20" s="28">
        <f>IFERROR(IF('Raw Data'!U16="","",100-(('Raw Data'!U16-MIN('Raw Data'!$U$2:$U$26))/(MAX('Raw Data'!$U$2:$U$26)-MIN('Raw Data'!$U$2:$U$26))*100)),"")</f>
        <v>66.666666666666671</v>
      </c>
      <c r="F20" s="28">
        <f>IFERROR(IF('Raw Data'!V16="","",(('Raw Data'!V16-MIN('Raw Data'!$V$2:$V$26))/(MAX('Raw Data'!$V$2:$V$26)-MIN('Raw Data'!$V$2:$V$26))*100)),"")</f>
        <v>40.476190476190474</v>
      </c>
      <c r="G20" s="28">
        <f>IFERROR(IF(Ratios!M16="","",(Ratios!M16-MIN(Ratios!$M$2:$M$26))/(MAX(Ratios!$M$2:$M$26)-MIN(Ratios!$M$2:$M$26))*100),"")</f>
        <v>0.97737687128996464</v>
      </c>
      <c r="H20" s="28" t="str">
        <f>'Raw Data'!C16</f>
        <v>Steel &amp; Metals</v>
      </c>
      <c r="I20" s="28">
        <f>IFERROR(SUMPRODUCT(B20:G20,$B$4:$G$4)/SUMPRODUCT(--(B20:G20&lt;&gt;""),$B$4:$G$4),"")</f>
        <v>38.482197028471695</v>
      </c>
      <c r="J20" s="23">
        <f>IFERROR(SUMPRODUCT((($L$6:$L$30=$L$20)*($I$6:$I$30&gt;I20)))+1,"")</f>
        <v>5</v>
      </c>
      <c r="K20" s="25" t="str">
        <f>'Raw Data'!A16</f>
        <v>ArcelorMittal South Africa</v>
      </c>
      <c r="L20" s="25">
        <f>'Raw Data'!D16</f>
        <v>2025</v>
      </c>
    </row>
    <row r="21" spans="2:12">
      <c r="B21" s="28">
        <f>IFERROR(IF(Ratios!J17="","",100-((Ratios!J17-MIN(Ratios!$J$2:$J$26))/(MAX(Ratios!$J$2:$J$26)-MIN(Ratios!$J$2:$J$26))*100)),"")</f>
        <v>97.379889137103234</v>
      </c>
      <c r="C21" s="28">
        <f>IFERROR(IF(Ratios!K17="","",100-((Ratios!K17-MIN(Ratios!$K$2:$K$26))/(MAX(Ratios!$K$2:$K$26)-MIN(Ratios!$K$2:$K$26))*100)),"")</f>
        <v>89.605407351514089</v>
      </c>
      <c r="D21" s="28">
        <f>IFERROR(IF('Raw Data'!S17="","",100-(('Raw Data'!S17-MIN('Raw Data'!$S$2:$S$26))/(MAX('Raw Data'!$S$2:$S$26)-MIN('Raw Data'!$S$2:$S$26))*100)),"")</f>
        <v>70.909090909090907</v>
      </c>
      <c r="E21" s="28">
        <f>IFERROR(IF('Raw Data'!U17="","",100-(('Raw Data'!U17-MIN('Raw Data'!$U$2:$U$26))/(MAX('Raw Data'!$U$2:$U$26)-MIN('Raw Data'!$U$2:$U$26))*100)),"")</f>
        <v>100</v>
      </c>
      <c r="F21" s="28">
        <f>IFERROR(IF('Raw Data'!V17="","",(('Raw Data'!V17-MIN('Raw Data'!$V$2:$V$26))/(MAX('Raw Data'!$V$2:$V$26)-MIN('Raw Data'!$V$2:$V$26))*100)),"")</f>
        <v>23.809523809523807</v>
      </c>
      <c r="G21" s="28">
        <f>IFERROR(IF(Ratios!M17="","",(Ratios!M17-MIN(Ratios!$M$2:$M$26))/(MAX(Ratios!$M$2:$M$26)-MIN(Ratios!$M$2:$M$26))*100),"")</f>
        <v>8.3323723067960955</v>
      </c>
      <c r="H21" s="28" t="str">
        <f>'Raw Data'!C17</f>
        <v>Chemicals &amp; Agriculture</v>
      </c>
      <c r="I21" s="28">
        <f>IFERROR(SUMPRODUCT(B21:G21,$B$4:$G$4)/SUMPRODUCT(--(B21:G21&lt;&gt;""),$B$4:$G$4),"")</f>
        <v>66.919891529413931</v>
      </c>
      <c r="J21" s="23">
        <f>IFERROR(SUMPRODUCT((($L$6:$L$30=$L$21)*($I$6:$I$30&gt;I21)))+1,"")</f>
        <v>2</v>
      </c>
      <c r="K21" s="25" t="str">
        <f>'Raw Data'!A17</f>
        <v>Omnia Holdings Limited</v>
      </c>
      <c r="L21" s="25">
        <f>'Raw Data'!D17</f>
        <v>2021</v>
      </c>
    </row>
    <row r="22" spans="2:12">
      <c r="B22" s="28">
        <f>IFERROR(IF(Ratios!J18="","",100-((Ratios!J18-MIN(Ratios!$J$2:$J$26))/(MAX(Ratios!$J$2:$J$26)-MIN(Ratios!$J$2:$J$26))*100)),"")</f>
        <v>97.06812503715139</v>
      </c>
      <c r="C22" s="28">
        <f>IFERROR(IF(Ratios!K18="","",100-((Ratios!K18-MIN(Ratios!$K$2:$K$26))/(MAX(Ratios!$K$2:$K$26)-MIN(Ratios!$K$2:$K$26))*100)),"")</f>
        <v>93.420026819833168</v>
      </c>
      <c r="D22" s="28">
        <f>IFERROR(IF('Raw Data'!S18="","",100-(('Raw Data'!S18-MIN('Raw Data'!$S$2:$S$26))/(MAX('Raw Data'!$S$2:$S$26)-MIN('Raw Data'!$S$2:$S$26))*100)),"")</f>
        <v>83.636363636363626</v>
      </c>
      <c r="E22" s="28">
        <f>IFERROR(IF('Raw Data'!U18="","",100-(('Raw Data'!U18-MIN('Raw Data'!$U$2:$U$26))/(MAX('Raw Data'!$U$2:$U$26)-MIN('Raw Data'!$U$2:$U$26))*100)),"")</f>
        <v>100</v>
      </c>
      <c r="F22" s="28">
        <f>IFERROR(IF('Raw Data'!V18="","",(('Raw Data'!V18-MIN('Raw Data'!$V$2:$V$26))/(MAX('Raw Data'!$V$2:$V$26)-MIN('Raw Data'!$V$2:$V$26))*100)),"")</f>
        <v>23.809523809523807</v>
      </c>
      <c r="G22" s="28">
        <f>IFERROR(IF(Ratios!M18="","",(Ratios!M18-MIN(Ratios!$M$2:$M$26))/(MAX(Ratios!$M$2:$M$26)-MIN(Ratios!$M$2:$M$26))*100),"")</f>
        <v>8.1006650371722202</v>
      </c>
      <c r="H22" s="28" t="str">
        <f>'Raw Data'!C18</f>
        <v>Chemicals &amp; Agriculture</v>
      </c>
      <c r="I22" s="28">
        <f>IFERROR(SUMPRODUCT(B22:G22,$B$4:$G$4)/SUMPRODUCT(--(B22:G22&lt;&gt;""),$B$4:$G$4),"")</f>
        <v>69.940430084682376</v>
      </c>
      <c r="J22" s="23">
        <f>IFERROR(SUMPRODUCT((($L$6:$L$30=$L$22)*($I$6:$I$30&gt;I22)))+1,"")</f>
        <v>2</v>
      </c>
      <c r="K22" s="25" t="str">
        <f>'Raw Data'!A18</f>
        <v>Omnia Holdings Limited</v>
      </c>
      <c r="L22" s="25">
        <f>'Raw Data'!D18</f>
        <v>2022</v>
      </c>
    </row>
    <row r="23" spans="2:12">
      <c r="B23" s="28">
        <f>IFERROR(IF(Ratios!J19="","",100-((Ratios!J19-MIN(Ratios!$J$2:$J$26))/(MAX(Ratios!$J$2:$J$26)-MIN(Ratios!$J$2:$J$26))*100)),"")</f>
        <v>99.721864075846796</v>
      </c>
      <c r="C23" s="28">
        <f>IFERROR(IF(Ratios!K19="","",100-((Ratios!K19-MIN(Ratios!$K$2:$K$26))/(MAX(Ratios!$K$2:$K$26)-MIN(Ratios!$K$2:$K$26))*100)),"")</f>
        <v>97.123495566496302</v>
      </c>
      <c r="D23" s="28">
        <f>IFERROR(IF('Raw Data'!S19="","",100-(('Raw Data'!S19-MIN('Raw Data'!$S$2:$S$26))/(MAX('Raw Data'!$S$2:$S$26)-MIN('Raw Data'!$S$2:$S$26))*100)),"")</f>
        <v>93.63636363636364</v>
      </c>
      <c r="E23" s="28">
        <f>IFERROR(IF('Raw Data'!U19="","",100-(('Raw Data'!U19-MIN('Raw Data'!$U$2:$U$26))/(MAX('Raw Data'!$U$2:$U$26)-MIN('Raw Data'!$U$2:$U$26))*100)),"")</f>
        <v>100</v>
      </c>
      <c r="F23" s="28">
        <f>IFERROR(IF('Raw Data'!V19="","",(('Raw Data'!V19-MIN('Raw Data'!$V$2:$V$26))/(MAX('Raw Data'!$V$2:$V$26)-MIN('Raw Data'!$V$2:$V$26))*100)),"")</f>
        <v>52.380952380952387</v>
      </c>
      <c r="G23" s="28">
        <f>IFERROR(IF(Ratios!M19="","",(Ratios!M19-MIN(Ratios!$M$2:$M$26))/(MAX(Ratios!$M$2:$M$26)-MIN(Ratios!$M$2:$M$26))*100),"")</f>
        <v>11.451586408831595</v>
      </c>
      <c r="H23" s="28" t="str">
        <f>'Raw Data'!C19</f>
        <v>Chemicals &amp; Agriculture</v>
      </c>
      <c r="I23" s="28">
        <f>IFERROR(SUMPRODUCT(B23:G23,$B$4:$G$4)/SUMPRODUCT(--(B23:G23&lt;&gt;""),$B$4:$G$4),"")</f>
        <v>77.815050695884139</v>
      </c>
      <c r="J23" s="23">
        <f>IFERROR(SUMPRODUCT((($L$6:$L$30=$L$23)*($I$6:$I$30&gt;I23)))+1,"")</f>
        <v>1</v>
      </c>
      <c r="K23" s="25" t="str">
        <f>'Raw Data'!A19</f>
        <v>Omnia Holdings Limited</v>
      </c>
      <c r="L23" s="25">
        <f>'Raw Data'!D19</f>
        <v>2023</v>
      </c>
    </row>
    <row r="24" spans="2:12">
      <c r="B24" s="28">
        <f>IFERROR(IF(Ratios!J20="","",100-((Ratios!J20-MIN(Ratios!$J$2:$J$26))/(MAX(Ratios!$J$2:$J$26)-MIN(Ratios!$J$2:$J$26))*100)),"")</f>
        <v>99.723384843795898</v>
      </c>
      <c r="C24" s="28">
        <f>IFERROR(IF(Ratios!K20="","",100-((Ratios!K20-MIN(Ratios!$K$2:$K$26))/(MAX(Ratios!$K$2:$K$26)-MIN(Ratios!$K$2:$K$26))*100)),"")</f>
        <v>95.821175505822936</v>
      </c>
      <c r="D24" s="28">
        <f>IFERROR(IF('Raw Data'!S20="","",100-(('Raw Data'!S20-MIN('Raw Data'!$S$2:$S$26))/(MAX('Raw Data'!$S$2:$S$26)-MIN('Raw Data'!$S$2:$S$26))*100)),"")</f>
        <v>100</v>
      </c>
      <c r="E24" s="28">
        <f>IFERROR(IF('Raw Data'!U20="","",100-(('Raw Data'!U20-MIN('Raw Data'!$U$2:$U$26))/(MAX('Raw Data'!$U$2:$U$26)-MIN('Raw Data'!$U$2:$U$26))*100)),"")</f>
        <v>100</v>
      </c>
      <c r="F24" s="28">
        <f>IFERROR(IF('Raw Data'!V20="","",(('Raw Data'!V20-MIN('Raw Data'!$V$2:$V$26))/(MAX('Raw Data'!$V$2:$V$26)-MIN('Raw Data'!$V$2:$V$26))*100)),"")</f>
        <v>52.380952380952387</v>
      </c>
      <c r="G24" s="28">
        <f>IFERROR(IF(Ratios!M20="","",(Ratios!M20-MIN(Ratios!$M$2:$M$26))/(MAX(Ratios!$M$2:$M$26)-MIN(Ratios!$M$2:$M$26))*100),"")</f>
        <v>15.808970908806735</v>
      </c>
      <c r="H24" s="28" t="str">
        <f>'Raw Data'!C20</f>
        <v>Chemicals &amp; Agriculture</v>
      </c>
      <c r="I24" s="28">
        <f>IFERROR(SUMPRODUCT(B24:G24,$B$4:$G$4)/SUMPRODUCT(--(B24:G24&lt;&gt;""),$B$4:$G$4),"")</f>
        <v>79.546341788096484</v>
      </c>
      <c r="J24" s="23">
        <f>IFERROR(SUMPRODUCT((($L$6:$L$30=$L$24)*($I$6:$I$30&gt;I24)))+1,"")</f>
        <v>1</v>
      </c>
      <c r="K24" s="25" t="str">
        <f>'Raw Data'!A20</f>
        <v>Omnia Holdings Limited</v>
      </c>
      <c r="L24" s="25">
        <f>'Raw Data'!D20</f>
        <v>2024</v>
      </c>
    </row>
    <row r="25" spans="2:12">
      <c r="B25" s="28">
        <f>IFERROR(IF(Ratios!J21="","",100-((Ratios!J21-MIN(Ratios!$J$2:$J$26))/(MAX(Ratios!$J$2:$J$26)-MIN(Ratios!$J$2:$J$26))*100)),"")</f>
        <v>100</v>
      </c>
      <c r="C25" s="28">
        <f>IFERROR(IF(Ratios!K21="","",100-((Ratios!K21-MIN(Ratios!$K$2:$K$26))/(MAX(Ratios!$K$2:$K$26)-MIN(Ratios!$K$2:$K$26))*100)),"")</f>
        <v>96.114810533237716</v>
      </c>
      <c r="D25" s="28">
        <f>IFERROR(IF('Raw Data'!S21="","",100-(('Raw Data'!S21-MIN('Raw Data'!$S$2:$S$26))/(MAX('Raw Data'!$S$2:$S$26)-MIN('Raw Data'!$S$2:$S$26))*100)),"")</f>
        <v>87.272727272727266</v>
      </c>
      <c r="E25" s="28">
        <f>IFERROR(IF('Raw Data'!U21="","",100-(('Raw Data'!U21-MIN('Raw Data'!$U$2:$U$26))/(MAX('Raw Data'!$U$2:$U$26)-MIN('Raw Data'!$U$2:$U$26))*100)),"")</f>
        <v>100</v>
      </c>
      <c r="F25" s="28">
        <f>IFERROR(IF('Raw Data'!V21="","",(('Raw Data'!V21-MIN('Raw Data'!$V$2:$V$26))/(MAX('Raw Data'!$V$2:$V$26)-MIN('Raw Data'!$V$2:$V$26))*100)),"")</f>
        <v>52.380952380952387</v>
      </c>
      <c r="G25" s="28">
        <f>IFERROR(IF(Ratios!M21="","",(Ratios!M21-MIN(Ratios!$M$2:$M$26))/(MAX(Ratios!$M$2:$M$26)-MIN(Ratios!$M$2:$M$26))*100),"")</f>
        <v>18.937202981719423</v>
      </c>
      <c r="H25" s="28" t="str">
        <f>'Raw Data'!C21</f>
        <v>Chemicals &amp; Agriculture</v>
      </c>
      <c r="I25" s="28">
        <f>IFERROR(SUMPRODUCT(B25:G25,$B$4:$G$4)/SUMPRODUCT(--(B25:G25&lt;&gt;""),$B$4:$G$4),"")</f>
        <v>77.569490338931871</v>
      </c>
      <c r="J25" s="23">
        <f>IFERROR(SUMPRODUCT((($L$6:$L$30=$L$25)*($I$6:$I$30&gt;I25)))+1,"")</f>
        <v>2</v>
      </c>
      <c r="K25" s="25" t="str">
        <f>'Raw Data'!A21</f>
        <v>Omnia Holdings Limited</v>
      </c>
      <c r="L25" s="25">
        <f>'Raw Data'!D21</f>
        <v>2025</v>
      </c>
    </row>
    <row r="26" spans="2:12">
      <c r="B26" s="28">
        <f>IFERROR(IF(Ratios!J22="","",100-((Ratios!J22-MIN(Ratios!$J$2:$J$26))/(MAX(Ratios!$J$2:$J$26)-MIN(Ratios!$J$2:$J$26))*100)),"")</f>
        <v>0</v>
      </c>
      <c r="C26" s="28">
        <f>IFERROR(IF(Ratios!K22="","",100-((Ratios!K22-MIN(Ratios!$K$2:$K$26))/(MAX(Ratios!$K$2:$K$26)-MIN(Ratios!$K$2:$K$26))*100)),"")</f>
        <v>0</v>
      </c>
      <c r="D26" s="28">
        <f>IFERROR(IF('Raw Data'!S22="","",100-(('Raw Data'!S22-MIN('Raw Data'!$S$2:$S$26))/(MAX('Raw Data'!$S$2:$S$26)-MIN('Raw Data'!$S$2:$S$26))*100)),"")</f>
        <v>79.090909090909093</v>
      </c>
      <c r="E26" s="28">
        <f>IFERROR(IF('Raw Data'!U22="","",100-(('Raw Data'!U22-MIN('Raw Data'!$U$2:$U$26))/(MAX('Raw Data'!$U$2:$U$26)-MIN('Raw Data'!$U$2:$U$26))*100)),"")</f>
        <v>66.666666666666671</v>
      </c>
      <c r="F26" s="28">
        <f>IFERROR(IF('Raw Data'!V22="","",(('Raw Data'!V22-MIN('Raw Data'!$V$2:$V$26))/(MAX('Raw Data'!$V$2:$V$26)-MIN('Raw Data'!$V$2:$V$26))*100)),"")</f>
        <v>71.428571428571431</v>
      </c>
      <c r="G26" s="28">
        <f>IFERROR(IF(Ratios!M22="","",(Ratios!M22-MIN(Ratios!$M$2:$M$26))/(MAX(Ratios!$M$2:$M$26)-MIN(Ratios!$M$2:$M$26))*100),"")</f>
        <v>18.924572165227055</v>
      </c>
      <c r="H26" s="28" t="str">
        <f>'Raw Data'!C22</f>
        <v>Energy &amp; Chemicals</v>
      </c>
      <c r="I26" s="28">
        <f>IFERROR(SUMPRODUCT(B26:G26,$B$4:$G$4)/SUMPRODUCT(--(B26:G26&lt;&gt;""),$B$4:$G$4),"")</f>
        <v>39.371153357251593</v>
      </c>
      <c r="J26" s="23">
        <f>IFERROR(SUMPRODUCT((($L$6:$L$30=$L$26)*($I$6:$I$30&gt;I26)))+1,"")</f>
        <v>4</v>
      </c>
      <c r="K26" s="25" t="str">
        <f>'Raw Data'!A22</f>
        <v>Sasol Limited</v>
      </c>
      <c r="L26" s="25">
        <f>'Raw Data'!D22</f>
        <v>2021</v>
      </c>
    </row>
    <row r="27" spans="2:12">
      <c r="B27" s="28">
        <f>IFERROR(IF(Ratios!J23="","",100-((Ratios!J23-MIN(Ratios!$J$2:$J$26))/(MAX(Ratios!$J$2:$J$26)-MIN(Ratios!$J$2:$J$26))*100)),"")</f>
        <v>31.204541618650694</v>
      </c>
      <c r="C27" s="28">
        <f>IFERROR(IF(Ratios!K23="","",100-((Ratios!K23-MIN(Ratios!$K$2:$K$26))/(MAX(Ratios!$K$2:$K$26)-MIN(Ratios!$K$2:$K$26))*100)),"")</f>
        <v>31.695291502406533</v>
      </c>
      <c r="D27" s="28">
        <f>IFERROR(IF('Raw Data'!S23="","",100-(('Raw Data'!S23-MIN('Raw Data'!$S$2:$S$26))/(MAX('Raw Data'!$S$2:$S$26)-MIN('Raw Data'!$S$2:$S$26))*100)),"")</f>
        <v>78.181818181818173</v>
      </c>
      <c r="E27" s="28">
        <f>IFERROR(IF('Raw Data'!U23="","",100-(('Raw Data'!U23-MIN('Raw Data'!$U$2:$U$26))/(MAX('Raw Data'!$U$2:$U$26)-MIN('Raw Data'!$U$2:$U$26))*100)),"")</f>
        <v>83.333333333333343</v>
      </c>
      <c r="F27" s="28">
        <f>IFERROR(IF('Raw Data'!V23="","",(('Raw Data'!V23-MIN('Raw Data'!$V$2:$V$26))/(MAX('Raw Data'!$V$2:$V$26)-MIN('Raw Data'!$V$2:$V$26))*100)),"")</f>
        <v>90.476190476190482</v>
      </c>
      <c r="G27" s="28">
        <f>IFERROR(IF(Ratios!M23="","",(Ratios!M23-MIN(Ratios!$M$2:$M$26))/(MAX(Ratios!$M$2:$M$26)-MIN(Ratios!$M$2:$M$26))*100),"")</f>
        <v>19.689521671162243</v>
      </c>
      <c r="H27" s="28" t="str">
        <f>'Raw Data'!C23</f>
        <v>Energy &amp; Chemicals</v>
      </c>
      <c r="I27" s="28">
        <f>IFERROR(SUMPRODUCT(B27:G27,$B$4:$G$4)/SUMPRODUCT(--(B27:G27&lt;&gt;""),$B$4:$G$4),"")</f>
        <v>55.656422507557657</v>
      </c>
      <c r="J27" s="23">
        <f>IFERROR(SUMPRODUCT((($L$6:$L$30=$L$27)*($I$6:$I$30&gt;I27)))+1,"")</f>
        <v>4</v>
      </c>
      <c r="K27" s="25" t="str">
        <f>'Raw Data'!A23</f>
        <v>Sasol Limited</v>
      </c>
      <c r="L27" s="25">
        <f>'Raw Data'!D23</f>
        <v>2022</v>
      </c>
    </row>
    <row r="28" spans="2:12">
      <c r="B28" s="28">
        <f>IFERROR(IF(Ratios!J24="","",100-((Ratios!J24-MIN(Ratios!$J$2:$J$26))/(MAX(Ratios!$J$2:$J$26)-MIN(Ratios!$J$2:$J$26))*100)),"")</f>
        <v>33.742319327428689</v>
      </c>
      <c r="C28" s="28">
        <f>IFERROR(IF(Ratios!K24="","",100-((Ratios!K24-MIN(Ratios!$K$2:$K$26))/(MAX(Ratios!$K$2:$K$26)-MIN(Ratios!$K$2:$K$26))*100)),"")</f>
        <v>45.353007740609364</v>
      </c>
      <c r="D28" s="28">
        <f>IFERROR(IF('Raw Data'!S24="","",100-(('Raw Data'!S24-MIN('Raw Data'!$S$2:$S$26))/(MAX('Raw Data'!$S$2:$S$26)-MIN('Raw Data'!$S$2:$S$26))*100)),"")</f>
        <v>78.181818181818173</v>
      </c>
      <c r="E28" s="28">
        <f>IFERROR(IF('Raw Data'!U24="","",100-(('Raw Data'!U24-MIN('Raw Data'!$U$2:$U$26))/(MAX('Raw Data'!$U$2:$U$26)-MIN('Raw Data'!$U$2:$U$26))*100)),"")</f>
        <v>83.333333333333343</v>
      </c>
      <c r="F28" s="28">
        <f>IFERROR(IF('Raw Data'!V24="","",(('Raw Data'!V24-MIN('Raw Data'!$V$2:$V$26))/(MAX('Raw Data'!$V$2:$V$26)-MIN('Raw Data'!$V$2:$V$26))*100)),"")</f>
        <v>80.952380952380949</v>
      </c>
      <c r="G28" s="28">
        <f>IFERROR(IF(Ratios!M24="","",(Ratios!M24-MIN(Ratios!$M$2:$M$26))/(MAX(Ratios!$M$2:$M$26)-MIN(Ratios!$M$2:$M$26))*100),"")</f>
        <v>21.941191322816092</v>
      </c>
      <c r="H28" s="28" t="str">
        <f>'Raw Data'!C24</f>
        <v>Energy &amp; Chemicals</v>
      </c>
      <c r="I28" s="28">
        <f>IFERROR(SUMPRODUCT(B28:G28,$B$4:$G$4)/SUMPRODUCT(--(B28:G28&lt;&gt;""),$B$4:$G$4),"")</f>
        <v>57.121814504220339</v>
      </c>
      <c r="J28" s="23">
        <f>IFERROR(SUMPRODUCT((($L$6:$L$30=$L$28)*($I$6:$I$30&gt;I28)))+1,"")</f>
        <v>4</v>
      </c>
      <c r="K28" s="25" t="str">
        <f>'Raw Data'!A24</f>
        <v>Sasol Limited</v>
      </c>
      <c r="L28" s="25">
        <f>'Raw Data'!D24</f>
        <v>2023</v>
      </c>
    </row>
    <row r="29" spans="2:12">
      <c r="B29" s="28">
        <f>IFERROR(IF(Ratios!J25="","",100-((Ratios!J25-MIN(Ratios!$J$2:$J$26))/(MAX(Ratios!$J$2:$J$26)-MIN(Ratios!$J$2:$J$26))*100)),"")</f>
        <v>29.653829781899432</v>
      </c>
      <c r="C29" s="28">
        <f>IFERROR(IF(Ratios!K25="","",100-((Ratios!K25-MIN(Ratios!$K$2:$K$26))/(MAX(Ratios!$K$2:$K$26)-MIN(Ratios!$K$2:$K$26))*100)),"")</f>
        <v>33.872577814713594</v>
      </c>
      <c r="D29" s="28">
        <f>IFERROR(IF('Raw Data'!S25="","",100-(('Raw Data'!S25-MIN('Raw Data'!$S$2:$S$26))/(MAX('Raw Data'!$S$2:$S$26)-MIN('Raw Data'!$S$2:$S$26))*100)),"")</f>
        <v>80</v>
      </c>
      <c r="E29" s="28">
        <f>IFERROR(IF('Raw Data'!U25="","",100-(('Raw Data'!U25-MIN('Raw Data'!$U$2:$U$26))/(MAX('Raw Data'!$U$2:$U$26)-MIN('Raw Data'!$U$2:$U$26))*100)),"")</f>
        <v>100</v>
      </c>
      <c r="F29" s="28">
        <f>IFERROR(IF('Raw Data'!V25="","",(('Raw Data'!V25-MIN('Raw Data'!$V$2:$V$26))/(MAX('Raw Data'!$V$2:$V$26)-MIN('Raw Data'!$V$2:$V$26))*100)),"")</f>
        <v>100</v>
      </c>
      <c r="G29" s="28">
        <f>IFERROR(IF(Ratios!M25="","",(Ratios!M25-MIN(Ratios!$M$2:$M$26))/(MAX(Ratios!$M$2:$M$26)-MIN(Ratios!$M$2:$M$26))*100),"")</f>
        <v>18.186627558699495</v>
      </c>
      <c r="H29" s="28" t="str">
        <f>'Raw Data'!C25</f>
        <v>Energy &amp; Chemicals</v>
      </c>
      <c r="I29" s="28">
        <f>IFERROR(SUMPRODUCT(B29:G29,$B$4:$G$4)/SUMPRODUCT(--(B29:G29&lt;&gt;""),$B$4:$G$4),"")</f>
        <v>59.739646762391857</v>
      </c>
      <c r="J29" s="23">
        <f>IFERROR(SUMPRODUCT((($L$6:$L$30=$L$29)*($I$6:$I$30&gt;I29)))+1,"")</f>
        <v>4</v>
      </c>
      <c r="K29" s="25" t="str">
        <f>'Raw Data'!A25</f>
        <v>Sasol Limited</v>
      </c>
      <c r="L29" s="25">
        <f>'Raw Data'!D25</f>
        <v>2024</v>
      </c>
    </row>
    <row r="30" spans="2:12">
      <c r="B30" s="28">
        <f>IFERROR(IF(Ratios!J26="","",100-((Ratios!J26-MIN(Ratios!$J$2:$J$26))/(MAX(Ratios!$J$2:$J$26)-MIN(Ratios!$J$2:$J$26))*100)),"")</f>
        <v>29.60656467382934</v>
      </c>
      <c r="C30" s="28">
        <f>IFERROR(IF(Ratios!K26="","",100-((Ratios!K26-MIN(Ratios!$K$2:$K$26))/(MAX(Ratios!$K$2:$K$26)-MIN(Ratios!$K$2:$K$26))*100)),"")</f>
        <v>26.736324873908586</v>
      </c>
      <c r="D30" s="28">
        <f>IFERROR(IF('Raw Data'!S26="","",100-(('Raw Data'!S26-MIN('Raw Data'!$S$2:$S$26))/(MAX('Raw Data'!$S$2:$S$26)-MIN('Raw Data'!$S$2:$S$26))*100)),"")</f>
        <v>80</v>
      </c>
      <c r="E30" s="28">
        <f>IFERROR(IF('Raw Data'!U26="","",100-(('Raw Data'!U26-MIN('Raw Data'!$U$2:$U$26))/(MAX('Raw Data'!$U$2:$U$26)-MIN('Raw Data'!$U$2:$U$26))*100)),"")</f>
        <v>100</v>
      </c>
      <c r="F30" s="28">
        <f>IFERROR(IF('Raw Data'!V26="","",(('Raw Data'!V26-MIN('Raw Data'!$V$2:$V$26))/(MAX('Raw Data'!$V$2:$V$26)-MIN('Raw Data'!$V$2:$V$26))*100)),"")</f>
        <v>88.095238095238088</v>
      </c>
      <c r="G30" s="28">
        <f>IFERROR(IF(Ratios!M26="","",(Ratios!M26-MIN(Ratios!$M$2:$M$26))/(MAX(Ratios!$M$2:$M$26)-MIN(Ratios!$M$2:$M$26))*100),"")</f>
        <v>19.408986941309919</v>
      </c>
      <c r="H30" s="28" t="str">
        <f>'Raw Data'!C26</f>
        <v>Energy &amp; Chemicals</v>
      </c>
      <c r="I30" s="28">
        <f>IFERROR(SUMPRODUCT(B30:G30,$B$4:$G$4)/SUMPRODUCT(--(B30:G30&lt;&gt;""),$B$4:$G$4),"")</f>
        <v>57.057395421334363</v>
      </c>
      <c r="J30" s="23">
        <f>IFERROR(SUMPRODUCT((($L$6:$L$30=$L$30)*($I$6:$I$30&gt;I30)))+1,"")</f>
        <v>4</v>
      </c>
      <c r="K30" s="25" t="str">
        <f>'Raw Data'!A26</f>
        <v>Sasol Limited</v>
      </c>
      <c r="L30" s="25">
        <f>'Raw Data'!D26</f>
        <v>2025</v>
      </c>
    </row>
  </sheetData>
  <mergeCells count="2">
    <mergeCell ref="A1:J1"/>
    <mergeCell ref="A2:J2"/>
  </mergeCells>
  <conditionalFormatting sqref="I6:I30">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
  <sheetViews>
    <sheetView zoomScaleNormal="100" workbookViewId="0">
      <pane ySplit="1" topLeftCell="A2" activePane="bottomLeft" state="frozen"/>
      <selection pane="bottomLeft"/>
    </sheetView>
  </sheetViews>
  <sheetFormatPr defaultColWidth="8.7109375" defaultRowHeight="15"/>
  <cols>
    <col min="1" max="1" width="28" customWidth="1"/>
    <col min="2" max="2" width="8" customWidth="1"/>
    <col min="3" max="7" width="12" customWidth="1"/>
  </cols>
  <sheetData>
    <row r="1" spans="1:7">
      <c r="A1" s="29" t="s">
        <v>546</v>
      </c>
      <c r="B1" s="29" t="s">
        <v>547</v>
      </c>
      <c r="C1" s="29" t="s">
        <v>548</v>
      </c>
      <c r="D1" s="29" t="s">
        <v>549</v>
      </c>
      <c r="E1" s="29" t="s">
        <v>550</v>
      </c>
      <c r="F1" s="29" t="s">
        <v>551</v>
      </c>
      <c r="G1" s="29" t="s">
        <v>552</v>
      </c>
    </row>
    <row r="2" spans="1:7">
      <c r="A2" s="30" t="s">
        <v>523</v>
      </c>
      <c r="B2" s="6">
        <f>COUNT(Ratios!$E$2:$E$26)</f>
        <v>25</v>
      </c>
      <c r="C2" s="6">
        <f>IFERROR(AVERAGE(Ratios!$E$2:$E$26),"")</f>
        <v>7.7204014280514253</v>
      </c>
      <c r="D2" s="6">
        <f>IFERROR(MEDIAN(Ratios!$E$2:$E$26),"")</f>
        <v>7.4414935577175916</v>
      </c>
      <c r="E2" s="6">
        <f>IFERROR(STDEV(Ratios!$E$2:$E$26),"")</f>
        <v>9.849417607070766</v>
      </c>
      <c r="F2" s="6">
        <f>IFERROR(MIN(Ratios!$E$2:$E$26),"")</f>
        <v>-11.521919369882889</v>
      </c>
      <c r="G2" s="6">
        <f>IFERROR(MAX(Ratios!$E$2:$E$26),"")</f>
        <v>23.994283330341805</v>
      </c>
    </row>
    <row r="3" spans="1:7">
      <c r="A3" s="30" t="s">
        <v>524</v>
      </c>
      <c r="B3" s="6">
        <f>COUNT(Ratios!$F$2:$F$26)</f>
        <v>25</v>
      </c>
      <c r="C3" s="6">
        <f>IFERROR(AVERAGE(Ratios!$F$2:$F$26),"")</f>
        <v>3.6376032764281132</v>
      </c>
      <c r="D3" s="6">
        <f>IFERROR(MEDIAN(Ratios!$F$2:$F$26),"")</f>
        <v>4.3993677555321389</v>
      </c>
      <c r="E3" s="6">
        <f>IFERROR(STDEV(Ratios!$F$2:$F$26),"")</f>
        <v>8.9562805342356402</v>
      </c>
      <c r="F3" s="6">
        <f>IFERROR(MIN(Ratios!$F$2:$F$26),"")</f>
        <v>-16.09205011795239</v>
      </c>
      <c r="G3" s="6">
        <f>IFERROR(MAX(Ratios!$F$2:$F$26),"")</f>
        <v>16.684295356099526</v>
      </c>
    </row>
    <row r="4" spans="1:7">
      <c r="A4" s="30" t="s">
        <v>525</v>
      </c>
      <c r="B4" s="6">
        <f>COUNT(Ratios!$G$2:$G$26)</f>
        <v>20</v>
      </c>
      <c r="C4" s="6">
        <f>IFERROR(AVERAGE(Ratios!$G$2:$G$26),"")</f>
        <v>3.4224499386890841</v>
      </c>
      <c r="D4" s="6">
        <f>IFERROR(MEDIAN(Ratios!$G$2:$G$26),"")</f>
        <v>6.6335815474637663</v>
      </c>
      <c r="E4" s="6">
        <f>IFERROR(STDEV(Ratios!$G$2:$G$26),"")</f>
        <v>11.316824238175247</v>
      </c>
      <c r="F4" s="6">
        <f>IFERROR(MIN(Ratios!$G$2:$G$26),"")</f>
        <v>-23.411250551301073</v>
      </c>
      <c r="G4" s="6">
        <f>IFERROR(MAX(Ratios!$G$2:$G$26),"")</f>
        <v>22.771800776819166</v>
      </c>
    </row>
    <row r="5" spans="1:7">
      <c r="A5" s="30" t="s">
        <v>526</v>
      </c>
      <c r="B5" s="6">
        <f>COUNT(Ratios!$H$2:$H$26)</f>
        <v>25</v>
      </c>
      <c r="C5" s="6">
        <f>IFERROR(AVERAGE(Ratios!$H$2:$H$26),"")</f>
        <v>24.813659945132301</v>
      </c>
      <c r="D5" s="6">
        <f>IFERROR(MEDIAN(Ratios!$H$2:$H$26),"")</f>
        <v>10.440935369747175</v>
      </c>
      <c r="E5" s="6">
        <f>IFERROR(STDEV(Ratios!$H$2:$H$26),"")</f>
        <v>155.26321817337248</v>
      </c>
      <c r="F5" s="6">
        <f>IFERROR(MIN(Ratios!$H$2:$H$26),"")</f>
        <v>-297.4528782475802</v>
      </c>
      <c r="G5" s="6">
        <f>IFERROR(MAX(Ratios!$H$2:$H$26),"")</f>
        <v>702.09790209790208</v>
      </c>
    </row>
    <row r="6" spans="1:7">
      <c r="A6" s="30" t="s">
        <v>527</v>
      </c>
      <c r="B6" s="6">
        <f>COUNT(Ratios!$I$2:$I$26)</f>
        <v>25</v>
      </c>
      <c r="C6" s="6">
        <f>IFERROR(AVERAGE(Ratios!$I$2:$I$26),"")</f>
        <v>-0.36032719886550879</v>
      </c>
      <c r="D6" s="6">
        <f>IFERROR(MEDIAN(Ratios!$I$2:$I$26),"")</f>
        <v>0.30892561983471073</v>
      </c>
      <c r="E6" s="6">
        <f>IFERROR(STDEV(Ratios!$I$2:$I$26),"")</f>
        <v>4.4411389228735008</v>
      </c>
      <c r="F6" s="6">
        <f>IFERROR(MIN(Ratios!$I$2:$I$26),"")</f>
        <v>-21.272727272727273</v>
      </c>
      <c r="G6" s="6">
        <f>IFERROR(MAX(Ratios!$I$2:$I$26),"")</f>
        <v>4.4345389709628122</v>
      </c>
    </row>
    <row r="7" spans="1:7">
      <c r="A7" s="30" t="s">
        <v>528</v>
      </c>
      <c r="B7" s="6">
        <f>COUNT(Ratios!$J$2:$J$26)</f>
        <v>25</v>
      </c>
      <c r="C7" s="6">
        <f>IFERROR(AVERAGE(Ratios!$J$2:$J$26),"")</f>
        <v>105.70438762423568</v>
      </c>
      <c r="D7" s="6">
        <f>IFERROR(MEDIAN(Ratios!$J$2:$J$26),"")</f>
        <v>33.206193342702612</v>
      </c>
      <c r="E7" s="6">
        <f>IFERROR(STDEV(Ratios!$J$2:$J$26),"")</f>
        <v>111.30015928671321</v>
      </c>
      <c r="F7" s="6">
        <f>IFERROR(MIN(Ratios!$J$2:$J$26),"")</f>
        <v>6.1529056008414411</v>
      </c>
      <c r="G7" s="6">
        <f>IFERROR(MAX(Ratios!$J$2:$J$26),"")</f>
        <v>332.33618939131298</v>
      </c>
    </row>
    <row r="8" spans="1:7">
      <c r="A8" s="30" t="s">
        <v>529</v>
      </c>
      <c r="B8" s="6">
        <f>COUNT(Ratios!$K$2:$K$26)</f>
        <v>25</v>
      </c>
      <c r="C8" s="6">
        <f>IFERROR(AVERAGE(Ratios!$K$2:$K$26),"")</f>
        <v>232.95221885857711</v>
      </c>
      <c r="D8" s="6">
        <f>IFERROR(MEDIAN(Ratios!$K$2:$K$26),"")</f>
        <v>231.18431078729554</v>
      </c>
      <c r="E8" s="6">
        <f>IFERROR(STDEV(Ratios!$K$2:$K$26),"")</f>
        <v>177.80887816351171</v>
      </c>
      <c r="F8" s="6">
        <f>IFERROR(MIN(Ratios!$K$2:$K$26),"")</f>
        <v>44.769733333333335</v>
      </c>
      <c r="G8" s="6">
        <f>IFERROR(MAX(Ratios!$K$2:$K$26),"")</f>
        <v>683.72046951612106</v>
      </c>
    </row>
    <row r="9" spans="1:7">
      <c r="A9" s="30" t="s">
        <v>531</v>
      </c>
      <c r="B9" s="6">
        <f>COUNT(Ratios!$M$2:$M$26)</f>
        <v>25</v>
      </c>
      <c r="C9" s="6">
        <f>IFERROR(AVERAGE(Ratios!$M$2:$M$26),"")</f>
        <v>0.29999337762327655</v>
      </c>
      <c r="D9" s="6">
        <f>IFERROR(MEDIAN(Ratios!$M$2:$M$26),"")</f>
        <v>0.17311455667620052</v>
      </c>
      <c r="E9" s="6">
        <f>IFERROR(STDEV(Ratios!$M$2:$M$26),"")</f>
        <v>0.32756347764823801</v>
      </c>
      <c r="F9" s="6">
        <f>IFERROR(MIN(Ratios!$M$2:$M$26),"")</f>
        <v>3.9034955172761156E-2</v>
      </c>
      <c r="G9" s="6">
        <f>IFERROR(MAX(Ratios!$M$2:$M$26),"")</f>
        <v>1.2098736208098264</v>
      </c>
    </row>
    <row r="10" spans="1:7">
      <c r="A10" s="30" t="s">
        <v>120</v>
      </c>
      <c r="B10" s="6">
        <f>COUNT('Raw Data'!$V$2:$V$26)</f>
        <v>25</v>
      </c>
      <c r="C10" s="6">
        <f>IFERROR(AVERAGE('Raw Data'!$V$2:$V$26),"")</f>
        <v>32.479999999999997</v>
      </c>
      <c r="D10" s="6">
        <f>IFERROR(MEDIAN('Raw Data'!$V$2:$V$26),"")</f>
        <v>30</v>
      </c>
      <c r="E10" s="6">
        <f>IFERROR(STDEV('Raw Data'!$V$2:$V$26),"")</f>
        <v>12.855349081219073</v>
      </c>
      <c r="F10" s="6">
        <f>IFERROR(MIN('Raw Data'!$V$2:$V$26),"")</f>
        <v>8</v>
      </c>
      <c r="G10" s="6">
        <f>IFERROR(MAX('Raw Data'!$V$2:$V$26),"")</f>
        <v>50</v>
      </c>
    </row>
    <row r="11" spans="1:7">
      <c r="A11" s="30" t="s">
        <v>119</v>
      </c>
      <c r="B11" s="6">
        <f>COUNT('Raw Data'!$U$2:$U$26)</f>
        <v>24</v>
      </c>
      <c r="C11" s="6">
        <f>IFERROR(AVERAGE('Raw Data'!$U$2:$U$26),"")</f>
        <v>3.2916666666666665</v>
      </c>
      <c r="D11" s="6">
        <f>IFERROR(MEDIAN('Raw Data'!$U$2:$U$26),"")</f>
        <v>3</v>
      </c>
      <c r="E11" s="6">
        <f>IFERROR(STDEV('Raw Data'!$U$2:$U$26),"")</f>
        <v>1.7315277663950701</v>
      </c>
      <c r="F11" s="6">
        <f>IFERROR(MIN('Raw Data'!$U$2:$U$26),"")</f>
        <v>2</v>
      </c>
      <c r="G11" s="6">
        <f>IFERROR(MAX('Raw Data'!$U$2:$U$26),"")</f>
        <v>8</v>
      </c>
    </row>
    <row r="12" spans="1:7">
      <c r="A12" s="30" t="s">
        <v>544</v>
      </c>
      <c r="B12" s="6">
        <f>COUNT('ESG Index'!$I$6:$I$30)</f>
        <v>25</v>
      </c>
      <c r="C12" s="6">
        <f>IFERROR(AVERAGE('ESG Index'!$I$6:$I$30),"")</f>
        <v>61.714045135864872</v>
      </c>
      <c r="D12" s="6">
        <f>IFERROR(MEDIAN('ESG Index'!$I$6:$I$30),"")</f>
        <v>66.919891529413931</v>
      </c>
      <c r="E12" s="6">
        <f>IFERROR(STDEV('ESG Index'!$I$6:$I$30),"")</f>
        <v>17.097869562248636</v>
      </c>
      <c r="F12" s="6">
        <f>IFERROR(MIN('ESG Index'!$I$6:$I$30),"")</f>
        <v>25.3458853378893</v>
      </c>
      <c r="G12" s="6">
        <f>IFERROR(MAX('ESG Index'!$I$6:$I$30),"")</f>
        <v>79.546341788096484</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2"/>
  <sheetViews>
    <sheetView zoomScaleNormal="100" workbookViewId="0"/>
  </sheetViews>
  <sheetFormatPr defaultColWidth="8.7109375" defaultRowHeight="15"/>
  <cols>
    <col min="1" max="1" width="22" customWidth="1"/>
    <col min="2" max="10" width="11" customWidth="1"/>
  </cols>
  <sheetData>
    <row r="1" spans="1:10">
      <c r="A1" s="43" t="s">
        <v>553</v>
      </c>
      <c r="B1" s="43"/>
      <c r="C1" s="43"/>
      <c r="D1" s="43"/>
      <c r="E1" s="43"/>
      <c r="F1" s="43"/>
      <c r="G1" s="43"/>
      <c r="H1" s="43"/>
      <c r="I1" s="43"/>
    </row>
    <row r="3" spans="1:10" ht="59.65">
      <c r="B3" s="32" t="s">
        <v>523</v>
      </c>
      <c r="C3" s="32" t="s">
        <v>524</v>
      </c>
      <c r="D3" s="32" t="s">
        <v>525</v>
      </c>
      <c r="E3" s="32" t="s">
        <v>527</v>
      </c>
      <c r="F3" s="32" t="s">
        <v>554</v>
      </c>
      <c r="G3" s="32" t="s">
        <v>555</v>
      </c>
      <c r="H3" s="32" t="s">
        <v>556</v>
      </c>
      <c r="I3" s="32" t="s">
        <v>120</v>
      </c>
      <c r="J3" s="32" t="s">
        <v>544</v>
      </c>
    </row>
    <row r="4" spans="1:10">
      <c r="A4" s="29" t="s">
        <v>523</v>
      </c>
      <c r="B4" s="33">
        <f>IFERROR(CORREL(Ratios!$E$2:$E$26,Ratios!$E$2:$E$26),"")</f>
        <v>1.0000000000000002</v>
      </c>
      <c r="C4" s="33">
        <f>IFERROR(CORREL(Ratios!$E$2:$E$26,Ratios!$F$2:$F$26),"")</f>
        <v>0.98417733628119131</v>
      </c>
      <c r="D4" s="33">
        <f>IFERROR(CORREL(Ratios!$E$2:$E$26,Ratios!$G$2:$G$26),"")</f>
        <v>0.9246831070772108</v>
      </c>
      <c r="E4" s="33">
        <f>IFERROR(CORREL(Ratios!$E$2:$E$26,Ratios!$I$2:$I$26),"")</f>
        <v>0.19827936684551781</v>
      </c>
      <c r="F4" s="33">
        <f>IFERROR(CORREL(Ratios!$E$2:$E$26,Ratios!$J$2:$J$26),"")</f>
        <v>-0.2789066947616724</v>
      </c>
      <c r="G4" s="33">
        <f>IFERROR(CORREL(Ratios!$E$2:$E$26,Ratios!$K$2:$K$26),"")</f>
        <v>-5.2638732771588134E-2</v>
      </c>
      <c r="H4" s="33">
        <f>IFERROR(CORREL(Ratios!$E$2:$E$26,Ratios!$M$2:$M$26),"")</f>
        <v>0.57801769706504968</v>
      </c>
      <c r="I4" s="33">
        <f>IFERROR(CORREL(Ratios!$E$2:$E$26,'Raw Data'!$V$2:$V$26),"")</f>
        <v>-0.29538463339134508</v>
      </c>
      <c r="J4" s="33">
        <f>IFERROR(CORREL(Ratios!$E$2:$E$26,'ESG Index'!$I$6:$I$30),"")</f>
        <v>0.265312595496076</v>
      </c>
    </row>
    <row r="5" spans="1:10">
      <c r="A5" s="29" t="s">
        <v>524</v>
      </c>
      <c r="B5" s="33">
        <f>IFERROR(CORREL(Ratios!$F$2:$F$26,Ratios!$E$2:$E$26),"")</f>
        <v>0.98417733628119131</v>
      </c>
      <c r="C5" s="33">
        <f>IFERROR(CORREL(Ratios!$F$2:$F$26,Ratios!$F$2:$F$26),"")</f>
        <v>1.0000000000000002</v>
      </c>
      <c r="D5" s="33">
        <f>IFERROR(CORREL(Ratios!$F$2:$F$26,Ratios!$G$2:$G$26),"")</f>
        <v>0.95725072105047648</v>
      </c>
      <c r="E5" s="33">
        <f>IFERROR(CORREL(Ratios!$F$2:$F$26,Ratios!$I$2:$I$26),"")</f>
        <v>0.19443938815625481</v>
      </c>
      <c r="F5" s="33">
        <f>IFERROR(CORREL(Ratios!$F$2:$F$26,Ratios!$J$2:$J$26),"")</f>
        <v>-0.32797805039922096</v>
      </c>
      <c r="G5" s="33">
        <f>IFERROR(CORREL(Ratios!$F$2:$F$26,Ratios!$K$2:$K$26),"")</f>
        <v>-0.13309027040276272</v>
      </c>
      <c r="H5" s="33">
        <f>IFERROR(CORREL(Ratios!$F$2:$F$26,Ratios!$M$2:$M$26),"")</f>
        <v>0.49888187115756949</v>
      </c>
      <c r="I5" s="33">
        <f>IFERROR(CORREL(Ratios!$F$2:$F$26,'Raw Data'!$V$2:$V$26),"")</f>
        <v>-0.28236125398487955</v>
      </c>
      <c r="J5" s="33">
        <f>IFERROR(CORREL(Ratios!$F$2:$F$26,'ESG Index'!$I$6:$I$30),"")</f>
        <v>0.28332564009063727</v>
      </c>
    </row>
    <row r="6" spans="1:10">
      <c r="A6" s="29" t="s">
        <v>525</v>
      </c>
      <c r="B6" s="33">
        <f>IFERROR(CORREL(Ratios!$G$2:$G$26,Ratios!$E$2:$E$26),"")</f>
        <v>0.9246831070772108</v>
      </c>
      <c r="C6" s="33">
        <f>IFERROR(CORREL(Ratios!$G$2:$G$26,Ratios!$F$2:$F$26),"")</f>
        <v>0.95725072105047648</v>
      </c>
      <c r="D6" s="33">
        <f>IFERROR(CORREL(Ratios!$G$2:$G$26,Ratios!$G$2:$G$26),"")</f>
        <v>1.0000000000000002</v>
      </c>
      <c r="E6" s="33">
        <f>IFERROR(CORREL(Ratios!$G$2:$G$26,Ratios!$I$2:$I$26),"")</f>
        <v>0.23693433395954155</v>
      </c>
      <c r="F6" s="33">
        <f>IFERROR(CORREL(Ratios!$G$2:$G$26,Ratios!$J$2:$J$26),"")</f>
        <v>-0.44498213490379307</v>
      </c>
      <c r="G6" s="33">
        <f>IFERROR(CORREL(Ratios!$G$2:$G$26,Ratios!$K$2:$K$26),"")</f>
        <v>-0.27317024761766989</v>
      </c>
      <c r="H6" s="33">
        <f>IFERROR(CORREL(Ratios!$G$2:$G$26,Ratios!$M$2:$M$26),"")</f>
        <v>0.40757849874505375</v>
      </c>
      <c r="I6" s="33">
        <f>IFERROR(CORREL(Ratios!$G$2:$G$26,'Raw Data'!$V$2:$V$26),"")</f>
        <v>-0.15923041342801189</v>
      </c>
      <c r="J6" s="33">
        <f>IFERROR(CORREL(Ratios!$G$2:$G$26,'ESG Index'!$I$6:$I$30),"")</f>
        <v>0.42966113624044605</v>
      </c>
    </row>
    <row r="7" spans="1:10">
      <c r="A7" s="29" t="s">
        <v>527</v>
      </c>
      <c r="B7" s="33">
        <f>IFERROR(CORREL(Ratios!$I$2:$I$26,Ratios!$E$2:$E$26),"")</f>
        <v>0.19827936684551781</v>
      </c>
      <c r="C7" s="33">
        <f>IFERROR(CORREL(Ratios!$I$2:$I$26,Ratios!$F$2:$F$26),"")</f>
        <v>0.19443938815625481</v>
      </c>
      <c r="D7" s="33">
        <f>IFERROR(CORREL(Ratios!$I$2:$I$26,Ratios!$G$2:$G$26),"")</f>
        <v>0.23693433395954155</v>
      </c>
      <c r="E7" s="33">
        <f>IFERROR(CORREL(Ratios!$I$2:$I$26,Ratios!$I$2:$I$26),"")</f>
        <v>1.0000000000000002</v>
      </c>
      <c r="F7" s="33">
        <f>IFERROR(CORREL(Ratios!$I$2:$I$26,Ratios!$J$2:$J$26),"")</f>
        <v>-0.13934695872024233</v>
      </c>
      <c r="G7" s="33">
        <f>IFERROR(CORREL(Ratios!$I$2:$I$26,Ratios!$K$2:$K$26),"")</f>
        <v>-0.12346595572823663</v>
      </c>
      <c r="H7" s="33">
        <f>IFERROR(CORREL(Ratios!$I$2:$I$26,Ratios!$M$2:$M$26),"")</f>
        <v>0.10915466205845992</v>
      </c>
      <c r="I7" s="33">
        <f>IFERROR(CORREL(Ratios!$I$2:$I$26,'Raw Data'!$V$2:$V$26),"")</f>
        <v>0.13809600425577365</v>
      </c>
      <c r="J7" s="33">
        <f>IFERROR(CORREL(Ratios!$I$2:$I$26,'ESG Index'!$I$6:$I$30),"")</f>
        <v>0.15480030210500795</v>
      </c>
    </row>
    <row r="8" spans="1:10">
      <c r="A8" s="29" t="s">
        <v>554</v>
      </c>
      <c r="B8" s="33">
        <f>IFERROR(CORREL(Ratios!$J$2:$J$26,Ratios!$E$2:$E$26),"")</f>
        <v>-0.2789066947616724</v>
      </c>
      <c r="C8" s="33">
        <f>IFERROR(CORREL(Ratios!$J$2:$J$26,Ratios!$F$2:$F$26),"")</f>
        <v>-0.32797805039922096</v>
      </c>
      <c r="D8" s="33">
        <f>IFERROR(CORREL(Ratios!$J$2:$J$26,Ratios!$G$2:$G$26),"")</f>
        <v>-0.44498213490379307</v>
      </c>
      <c r="E8" s="33">
        <f>IFERROR(CORREL(Ratios!$J$2:$J$26,Ratios!$I$2:$I$26),"")</f>
        <v>-0.13934695872024233</v>
      </c>
      <c r="F8" s="33">
        <f>IFERROR(CORREL(Ratios!$J$2:$J$26,Ratios!$J$2:$J$26),"")</f>
        <v>1.0000000000000002</v>
      </c>
      <c r="G8" s="33">
        <f>IFERROR(CORREL(Ratios!$J$2:$J$26,Ratios!$K$2:$K$26),"")</f>
        <v>0.8932530078675297</v>
      </c>
      <c r="H8" s="33">
        <f>IFERROR(CORREL(Ratios!$J$2:$J$26,Ratios!$M$2:$M$26),"")</f>
        <v>-0.28648263365043258</v>
      </c>
      <c r="I8" s="33">
        <f>IFERROR(CORREL(Ratios!$J$2:$J$26,'Raw Data'!$V$2:$V$26),"")</f>
        <v>0.37855856231535623</v>
      </c>
      <c r="J8" s="33">
        <f>IFERROR(CORREL(Ratios!$J$2:$J$26,'ESG Index'!$I$6:$I$30),"")</f>
        <v>-0.85886500844789415</v>
      </c>
    </row>
    <row r="9" spans="1:10">
      <c r="A9" s="29" t="s">
        <v>555</v>
      </c>
      <c r="B9" s="33">
        <f>IFERROR(CORREL(Ratios!$K$2:$K$26,Ratios!$E$2:$E$26),"")</f>
        <v>-5.2638732771588134E-2</v>
      </c>
      <c r="C9" s="33">
        <f>IFERROR(CORREL(Ratios!$K$2:$K$26,Ratios!$F$2:$F$26),"")</f>
        <v>-0.13309027040276272</v>
      </c>
      <c r="D9" s="33">
        <f>IFERROR(CORREL(Ratios!$K$2:$K$26,Ratios!$G$2:$G$26),"")</f>
        <v>-0.27317024761766989</v>
      </c>
      <c r="E9" s="33">
        <f>IFERROR(CORREL(Ratios!$K$2:$K$26,Ratios!$I$2:$I$26),"")</f>
        <v>-0.12346595572823663</v>
      </c>
      <c r="F9" s="33">
        <f>IFERROR(CORREL(Ratios!$K$2:$K$26,Ratios!$J$2:$J$26),"")</f>
        <v>0.8932530078675297</v>
      </c>
      <c r="G9" s="33">
        <f>IFERROR(CORREL(Ratios!$K$2:$K$26,Ratios!$K$2:$K$26),"")</f>
        <v>1</v>
      </c>
      <c r="H9" s="33">
        <f>IFERROR(CORREL(Ratios!$K$2:$K$26,Ratios!$M$2:$M$26),"")</f>
        <v>8.0907870430495882E-2</v>
      </c>
      <c r="I9" s="33">
        <f>IFERROR(CORREL(Ratios!$K$2:$K$26,'Raw Data'!$V$2:$V$26),"")</f>
        <v>0.20905798536203898</v>
      </c>
      <c r="J9" s="33">
        <f>IFERROR(CORREL(Ratios!$K$2:$K$26,'ESG Index'!$I$6:$I$30),"")</f>
        <v>-0.64032263650611576</v>
      </c>
    </row>
    <row r="10" spans="1:10">
      <c r="A10" s="29" t="s">
        <v>556</v>
      </c>
      <c r="B10" s="33">
        <f>IFERROR(CORREL(Ratios!$M$2:$M$26,Ratios!$E$2:$E$26),"")</f>
        <v>0.57801769706504968</v>
      </c>
      <c r="C10" s="33">
        <f>IFERROR(CORREL(Ratios!$M$2:$M$26,Ratios!$F$2:$F$26),"")</f>
        <v>0.49888187115756949</v>
      </c>
      <c r="D10" s="33">
        <f>IFERROR(CORREL(Ratios!$M$2:$M$26,Ratios!$G$2:$G$26),"")</f>
        <v>0.40757849874505375</v>
      </c>
      <c r="E10" s="33">
        <f>IFERROR(CORREL(Ratios!$M$2:$M$26,Ratios!$I$2:$I$26),"")</f>
        <v>0.10915466205845992</v>
      </c>
      <c r="F10" s="33">
        <f>IFERROR(CORREL(Ratios!$M$2:$M$26,Ratios!$J$2:$J$26),"")</f>
        <v>-0.28648263365043258</v>
      </c>
      <c r="G10" s="33">
        <f>IFERROR(CORREL(Ratios!$M$2:$M$26,Ratios!$K$2:$K$26),"")</f>
        <v>8.0907870430495882E-2</v>
      </c>
      <c r="H10" s="33">
        <f>IFERROR(CORREL(Ratios!$M$2:$M$26,Ratios!$M$2:$M$26),"")</f>
        <v>1</v>
      </c>
      <c r="I10" s="33">
        <f>IFERROR(CORREL(Ratios!$M$2:$M$26,'Raw Data'!$V$2:$V$26),"")</f>
        <v>-0.60369921387176173</v>
      </c>
      <c r="J10" s="33">
        <f>IFERROR(CORREL(Ratios!$M$2:$M$26,'ESG Index'!$I$6:$I$30),"")</f>
        <v>0.33163407162190206</v>
      </c>
    </row>
    <row r="11" spans="1:10">
      <c r="A11" s="29" t="s">
        <v>120</v>
      </c>
      <c r="B11" s="33">
        <f>IFERROR(CORREL('Raw Data'!$V$2:$V$26,Ratios!$E$2:$E$26),"")</f>
        <v>-0.29538463339134508</v>
      </c>
      <c r="C11" s="33">
        <f>IFERROR(CORREL('Raw Data'!$V$2:$V$26,Ratios!$F$2:$F$26),"")</f>
        <v>-0.28236125398487955</v>
      </c>
      <c r="D11" s="33">
        <f>IFERROR(CORREL('Raw Data'!$V$2:$V$26,Ratios!$G$2:$G$26),"")</f>
        <v>-0.15923041342801189</v>
      </c>
      <c r="E11" s="33">
        <f>IFERROR(CORREL('Raw Data'!$V$2:$V$26,Ratios!$I$2:$I$26),"")</f>
        <v>0.13809600425577365</v>
      </c>
      <c r="F11" s="33">
        <f>IFERROR(CORREL('Raw Data'!$V$2:$V$26,Ratios!$J$2:$J$26),"")</f>
        <v>0.37855856231535623</v>
      </c>
      <c r="G11" s="33">
        <f>IFERROR(CORREL('Raw Data'!$V$2:$V$26,Ratios!$K$2:$K$26),"")</f>
        <v>0.20905798536203898</v>
      </c>
      <c r="H11" s="33">
        <f>IFERROR(CORREL('Raw Data'!$V$2:$V$26,Ratios!$M$2:$M$26),"")</f>
        <v>-0.60369921387176173</v>
      </c>
      <c r="I11" s="33">
        <f>IFERROR(CORREL('Raw Data'!$V$2:$V$26,'Raw Data'!$V$2:$V$26),"")</f>
        <v>1</v>
      </c>
      <c r="J11" s="33">
        <f>IFERROR(CORREL('Raw Data'!$V$2:$V$26,'ESG Index'!$I$6:$I$30),"")</f>
        <v>-0.11525954972835979</v>
      </c>
    </row>
    <row r="12" spans="1:10">
      <c r="A12" s="29" t="s">
        <v>544</v>
      </c>
      <c r="B12" s="33">
        <f>IFERROR(CORREL('ESG Index'!$I$6:$I$30,Ratios!$E$2:$E$26),"")</f>
        <v>0.265312595496076</v>
      </c>
      <c r="C12" s="33">
        <f>IFERROR(CORREL('ESG Index'!$I$6:$I$30,Ratios!$F$2:$F$26),"")</f>
        <v>0.28332564009063727</v>
      </c>
      <c r="D12" s="33">
        <f>IFERROR(CORREL('ESG Index'!$I$6:$I$30,Ratios!$G$2:$G$26),"")</f>
        <v>0.42966113624044605</v>
      </c>
      <c r="E12" s="33">
        <f>IFERROR(CORREL('ESG Index'!$I$6:$I$30,Ratios!$I$2:$I$26),"")</f>
        <v>0.15480030210500795</v>
      </c>
      <c r="F12" s="33">
        <f>IFERROR(CORREL('ESG Index'!$I$6:$I$30,Ratios!$J$2:$J$26),"")</f>
        <v>-0.85886500844789415</v>
      </c>
      <c r="G12" s="33">
        <f>IFERROR(CORREL('ESG Index'!$I$6:$I$30,Ratios!$K$2:$K$26),"")</f>
        <v>-0.64032263650611576</v>
      </c>
      <c r="H12" s="33">
        <f>IFERROR(CORREL('ESG Index'!$I$6:$I$30,Ratios!$M$2:$M$26),"")</f>
        <v>0.33163407162190206</v>
      </c>
      <c r="I12" s="33">
        <f>IFERROR(CORREL('ESG Index'!$I$6:$I$30,'Raw Data'!$V$2:$V$26),"")</f>
        <v>-0.11525954972835979</v>
      </c>
      <c r="J12" s="33">
        <f>IFERROR(CORREL('ESG Index'!$I$6:$I$30,'ESG Index'!$I$6:$I$30),"")</f>
        <v>1</v>
      </c>
    </row>
  </sheetData>
  <mergeCells count="1">
    <mergeCell ref="A1:I1"/>
  </mergeCells>
  <conditionalFormatting sqref="B4:J12">
    <cfRule type="colorScale" priority="2">
      <colorScale>
        <cfvo type="num" val="-1"/>
        <cfvo type="num" val="0"/>
        <cfvo type="num" val="1"/>
        <color rgb="FFF8696B"/>
        <color rgb="FFFFFFFF"/>
        <color rgb="FF63BE7B"/>
      </colorScale>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9"/>
  <sheetViews>
    <sheetView zoomScaleNormal="100" workbookViewId="0"/>
  </sheetViews>
  <sheetFormatPr defaultColWidth="8.7109375" defaultRowHeight="15"/>
  <cols>
    <col min="1" max="1" width="8" customWidth="1"/>
    <col min="2" max="6" width="16" customWidth="1"/>
  </cols>
  <sheetData>
    <row r="1" spans="1:6">
      <c r="A1" s="31" t="s">
        <v>557</v>
      </c>
    </row>
    <row r="3" spans="1:6" ht="23.85">
      <c r="A3" s="27" t="s">
        <v>102</v>
      </c>
      <c r="B3" s="34" t="s">
        <v>124</v>
      </c>
      <c r="C3" s="34" t="s">
        <v>129</v>
      </c>
      <c r="D3" s="34" t="s">
        <v>133</v>
      </c>
      <c r="E3" s="34" t="s">
        <v>136</v>
      </c>
      <c r="F3" s="34" t="s">
        <v>140</v>
      </c>
    </row>
    <row r="4" spans="1:6">
      <c r="A4" s="30">
        <v>2021</v>
      </c>
      <c r="B4" s="35" t="str">
        <f t="array" ref="B4">IFERROR(INDEX('ESG Index'!$I$6:$I$30,MATCH(1,('ESG Index'!$K$6:$K$30=$A4)*('ESG Index'!$L$6:$L$30=2021),0)),"")</f>
        <v/>
      </c>
      <c r="C4" s="35" t="str">
        <f t="array" ref="C4">IFERROR(INDEX('ESG Index'!$I$6:$I$30,MATCH(1,('ESG Index'!$K$6:$K$30=$A4)*('ESG Index'!$L$6:$L$30=2021),0)),"")</f>
        <v/>
      </c>
      <c r="D4" s="35" t="str">
        <f t="array" ref="D4">IFERROR(INDEX('ESG Index'!$I$6:$I$30,MATCH(1,('ESG Index'!$K$6:$K$30=$A4)*('ESG Index'!$L$6:$L$30=2021),0)),"")</f>
        <v/>
      </c>
      <c r="E4" s="35" t="str">
        <f t="array" ref="E4">IFERROR(INDEX('ESG Index'!$I$6:$I$30,MATCH(1,('ESG Index'!$K$6:$K$30=$A4)*('ESG Index'!$L$6:$L$30=2021),0)),"")</f>
        <v/>
      </c>
      <c r="F4" s="35" t="str">
        <f t="array" ref="F4">IFERROR(INDEX('ESG Index'!$I$6:$I$30,MATCH(1,('ESG Index'!$K$6:$K$30=$A4)*('ESG Index'!$L$6:$L$30=2021),0)),"")</f>
        <v/>
      </c>
    </row>
    <row r="5" spans="1:6">
      <c r="A5" s="30">
        <v>2022</v>
      </c>
      <c r="B5" s="35" t="str">
        <f t="array" ref="B5">IFERROR(INDEX('ESG Index'!$I$6:$I$30,MATCH(1,('ESG Index'!$K$6:$K$30=$A5)*('ESG Index'!$L$6:$L$30=2022),0)),"")</f>
        <v/>
      </c>
      <c r="C5" s="35" t="str">
        <f t="array" ref="C5">IFERROR(INDEX('ESG Index'!$I$6:$I$30,MATCH(1,('ESG Index'!$K$6:$K$30=$A5)*('ESG Index'!$L$6:$L$30=2022),0)),"")</f>
        <v/>
      </c>
      <c r="D5" s="35" t="str">
        <f t="array" ref="D5">IFERROR(INDEX('ESG Index'!$I$6:$I$30,MATCH(1,('ESG Index'!$K$6:$K$30=$A5)*('ESG Index'!$L$6:$L$30=2022),0)),"")</f>
        <v/>
      </c>
      <c r="E5" s="35" t="str">
        <f t="array" ref="E5">IFERROR(INDEX('ESG Index'!$I$6:$I$30,MATCH(1,('ESG Index'!$K$6:$K$30=$A5)*('ESG Index'!$L$6:$L$30=2022),0)),"")</f>
        <v/>
      </c>
      <c r="F5" s="35" t="str">
        <f t="array" ref="F5">IFERROR(INDEX('ESG Index'!$I$6:$I$30,MATCH(1,('ESG Index'!$K$6:$K$30=$A5)*('ESG Index'!$L$6:$L$30=2022),0)),"")</f>
        <v/>
      </c>
    </row>
    <row r="6" spans="1:6">
      <c r="A6" s="30">
        <v>2023</v>
      </c>
      <c r="B6" s="35" t="str">
        <f t="array" ref="B6">IFERROR(INDEX('ESG Index'!$I$6:$I$30,MATCH(1,('ESG Index'!$K$6:$K$30=$A6)*('ESG Index'!$L$6:$L$30=2023),0)),"")</f>
        <v/>
      </c>
      <c r="C6" s="35" t="str">
        <f t="array" ref="C6">IFERROR(INDEX('ESG Index'!$I$6:$I$30,MATCH(1,('ESG Index'!$K$6:$K$30=$A6)*('ESG Index'!$L$6:$L$30=2023),0)),"")</f>
        <v/>
      </c>
      <c r="D6" s="35" t="str">
        <f t="array" ref="D6">IFERROR(INDEX('ESG Index'!$I$6:$I$30,MATCH(1,('ESG Index'!$K$6:$K$30=$A6)*('ESG Index'!$L$6:$L$30=2023),0)),"")</f>
        <v/>
      </c>
      <c r="E6" s="35" t="str">
        <f t="array" ref="E6">IFERROR(INDEX('ESG Index'!$I$6:$I$30,MATCH(1,('ESG Index'!$K$6:$K$30=$A6)*('ESG Index'!$L$6:$L$30=2023),0)),"")</f>
        <v/>
      </c>
      <c r="F6" s="35" t="str">
        <f t="array" ref="F6">IFERROR(INDEX('ESG Index'!$I$6:$I$30,MATCH(1,('ESG Index'!$K$6:$K$30=$A6)*('ESG Index'!$L$6:$L$30=2023),0)),"")</f>
        <v/>
      </c>
    </row>
    <row r="7" spans="1:6">
      <c r="A7" s="30">
        <v>2024</v>
      </c>
      <c r="B7" s="35" t="str">
        <f t="array" ref="B7">IFERROR(INDEX('ESG Index'!$I$6:$I$30,MATCH(1,('ESG Index'!$K$6:$K$30=$A7)*('ESG Index'!$L$6:$L$30=2024),0)),"")</f>
        <v/>
      </c>
      <c r="C7" s="35" t="str">
        <f t="array" ref="C7">IFERROR(INDEX('ESG Index'!$I$6:$I$30,MATCH(1,('ESG Index'!$K$6:$K$30=$A7)*('ESG Index'!$L$6:$L$30=2024),0)),"")</f>
        <v/>
      </c>
      <c r="D7" s="35" t="str">
        <f t="array" ref="D7">IFERROR(INDEX('ESG Index'!$I$6:$I$30,MATCH(1,('ESG Index'!$K$6:$K$30=$A7)*('ESG Index'!$L$6:$L$30=2024),0)),"")</f>
        <v/>
      </c>
      <c r="E7" s="35" t="str">
        <f t="array" ref="E7">IFERROR(INDEX('ESG Index'!$I$6:$I$30,MATCH(1,('ESG Index'!$K$6:$K$30=$A7)*('ESG Index'!$L$6:$L$30=2024),0)),"")</f>
        <v/>
      </c>
      <c r="F7" s="35" t="str">
        <f t="array" ref="F7">IFERROR(INDEX('ESG Index'!$I$6:$I$30,MATCH(1,('ESG Index'!$K$6:$K$30=$A7)*('ESG Index'!$L$6:$L$30=2024),0)),"")</f>
        <v/>
      </c>
    </row>
    <row r="8" spans="1:6">
      <c r="A8" s="30">
        <v>2025</v>
      </c>
      <c r="B8" s="35" t="str">
        <f t="array" ref="B8">IFERROR(INDEX('ESG Index'!$I$6:$I$30,MATCH(1,('ESG Index'!$K$6:$K$30=$A8)*('ESG Index'!$L$6:$L$30=2025),0)),"")</f>
        <v/>
      </c>
      <c r="C8" s="35" t="str">
        <f t="array" ref="C8">IFERROR(INDEX('ESG Index'!$I$6:$I$30,MATCH(1,('ESG Index'!$K$6:$K$30=$A8)*('ESG Index'!$L$6:$L$30=2025),0)),"")</f>
        <v/>
      </c>
      <c r="D8" s="35" t="str">
        <f t="array" ref="D8">IFERROR(INDEX('ESG Index'!$I$6:$I$30,MATCH(1,('ESG Index'!$K$6:$K$30=$A8)*('ESG Index'!$L$6:$L$30=2025),0)),"")</f>
        <v/>
      </c>
      <c r="E8" s="35" t="str">
        <f t="array" ref="E8">IFERROR(INDEX('ESG Index'!$I$6:$I$30,MATCH(1,('ESG Index'!$K$6:$K$30=$A8)*('ESG Index'!$L$6:$L$30=2025),0)),"")</f>
        <v/>
      </c>
      <c r="F8" s="35" t="str">
        <f t="array" ref="F8">IFERROR(INDEX('ESG Index'!$I$6:$I$30,MATCH(1,('ESG Index'!$K$6:$K$30=$A8)*('ESG Index'!$L$6:$L$30=2025),0)),"")</f>
        <v/>
      </c>
    </row>
    <row r="32" spans="1:1">
      <c r="A32" s="31" t="s">
        <v>558</v>
      </c>
    </row>
    <row r="34" spans="1:6" ht="23.85">
      <c r="A34" s="27" t="s">
        <v>102</v>
      </c>
      <c r="B34" s="34" t="s">
        <v>124</v>
      </c>
      <c r="C34" s="34" t="s">
        <v>129</v>
      </c>
      <c r="D34" s="34" t="s">
        <v>133</v>
      </c>
      <c r="E34" s="34" t="s">
        <v>136</v>
      </c>
      <c r="F34" s="34" t="s">
        <v>140</v>
      </c>
    </row>
    <row r="35" spans="1:6">
      <c r="A35" s="30">
        <v>2021</v>
      </c>
      <c r="B35" s="36" t="str">
        <f t="array" ref="B35">IFERROR(INDEX('Raw Data'!$F$2:$F$26,MATCH(1,('Raw Data'!$A$2:$A$26=$A35)*('Raw Data'!$D$2:$D$26=2021),0)),"")</f>
        <v/>
      </c>
      <c r="C35" s="36" t="str">
        <f t="array" ref="C35">IFERROR(INDEX('Raw Data'!$F$2:$F$26,MATCH(1,('Raw Data'!$A$2:$A$26=$A35)*('Raw Data'!$D$2:$D$26=2021),0)),"")</f>
        <v/>
      </c>
      <c r="D35" s="36" t="str">
        <f t="array" ref="D35">IFERROR(INDEX('Raw Data'!$F$2:$F$26,MATCH(1,('Raw Data'!$A$2:$A$26=$A35)*('Raw Data'!$D$2:$D$26=2021),0)),"")</f>
        <v/>
      </c>
      <c r="E35" s="36" t="str">
        <f t="array" ref="E35">IFERROR(INDEX('Raw Data'!$F$2:$F$26,MATCH(1,('Raw Data'!$A$2:$A$26=$A35)*('Raw Data'!$D$2:$D$26=2021),0)),"")</f>
        <v/>
      </c>
      <c r="F35" s="36" t="str">
        <f t="array" ref="F35">IFERROR(INDEX('Raw Data'!$F$2:$F$26,MATCH(1,('Raw Data'!$A$2:$A$26=$A35)*('Raw Data'!$D$2:$D$26=2021),0)),"")</f>
        <v/>
      </c>
    </row>
    <row r="36" spans="1:6">
      <c r="A36" s="30">
        <v>2022</v>
      </c>
      <c r="B36" s="36" t="str">
        <f t="array" ref="B36">IFERROR(INDEX('Raw Data'!$F$2:$F$26,MATCH(1,('Raw Data'!$A$2:$A$26=$A36)*('Raw Data'!$D$2:$D$26=2022),0)),"")</f>
        <v/>
      </c>
      <c r="C36" s="36" t="str">
        <f t="array" ref="C36">IFERROR(INDEX('Raw Data'!$F$2:$F$26,MATCH(1,('Raw Data'!$A$2:$A$26=$A36)*('Raw Data'!$D$2:$D$26=2022),0)),"")</f>
        <v/>
      </c>
      <c r="D36" s="36" t="str">
        <f t="array" ref="D36">IFERROR(INDEX('Raw Data'!$F$2:$F$26,MATCH(1,('Raw Data'!$A$2:$A$26=$A36)*('Raw Data'!$D$2:$D$26=2022),0)),"")</f>
        <v/>
      </c>
      <c r="E36" s="36" t="str">
        <f t="array" ref="E36">IFERROR(INDEX('Raw Data'!$F$2:$F$26,MATCH(1,('Raw Data'!$A$2:$A$26=$A36)*('Raw Data'!$D$2:$D$26=2022),0)),"")</f>
        <v/>
      </c>
      <c r="F36" s="36" t="str">
        <f t="array" ref="F36">IFERROR(INDEX('Raw Data'!$F$2:$F$26,MATCH(1,('Raw Data'!$A$2:$A$26=$A36)*('Raw Data'!$D$2:$D$26=2022),0)),"")</f>
        <v/>
      </c>
    </row>
    <row r="37" spans="1:6">
      <c r="A37" s="30">
        <v>2023</v>
      </c>
      <c r="B37" s="36" t="str">
        <f t="array" ref="B37">IFERROR(INDEX('Raw Data'!$F$2:$F$26,MATCH(1,('Raw Data'!$A$2:$A$26=$A37)*('Raw Data'!$D$2:$D$26=2023),0)),"")</f>
        <v/>
      </c>
      <c r="C37" s="36" t="str">
        <f t="array" ref="C37">IFERROR(INDEX('Raw Data'!$F$2:$F$26,MATCH(1,('Raw Data'!$A$2:$A$26=$A37)*('Raw Data'!$D$2:$D$26=2023),0)),"")</f>
        <v/>
      </c>
      <c r="D37" s="36" t="str">
        <f t="array" ref="D37">IFERROR(INDEX('Raw Data'!$F$2:$F$26,MATCH(1,('Raw Data'!$A$2:$A$26=$A37)*('Raw Data'!$D$2:$D$26=2023),0)),"")</f>
        <v/>
      </c>
      <c r="E37" s="36" t="str">
        <f t="array" ref="E37">IFERROR(INDEX('Raw Data'!$F$2:$F$26,MATCH(1,('Raw Data'!$A$2:$A$26=$A37)*('Raw Data'!$D$2:$D$26=2023),0)),"")</f>
        <v/>
      </c>
      <c r="F37" s="36" t="str">
        <f t="array" ref="F37">IFERROR(INDEX('Raw Data'!$F$2:$F$26,MATCH(1,('Raw Data'!$A$2:$A$26=$A37)*('Raw Data'!$D$2:$D$26=2023),0)),"")</f>
        <v/>
      </c>
    </row>
    <row r="38" spans="1:6">
      <c r="A38" s="30">
        <v>2024</v>
      </c>
      <c r="B38" s="36" t="str">
        <f t="array" ref="B38">IFERROR(INDEX('Raw Data'!$F$2:$F$26,MATCH(1,('Raw Data'!$A$2:$A$26=$A38)*('Raw Data'!$D$2:$D$26=2024),0)),"")</f>
        <v/>
      </c>
      <c r="C38" s="36" t="str">
        <f t="array" ref="C38">IFERROR(INDEX('Raw Data'!$F$2:$F$26,MATCH(1,('Raw Data'!$A$2:$A$26=$A38)*('Raw Data'!$D$2:$D$26=2024),0)),"")</f>
        <v/>
      </c>
      <c r="D38" s="36" t="str">
        <f t="array" ref="D38">IFERROR(INDEX('Raw Data'!$F$2:$F$26,MATCH(1,('Raw Data'!$A$2:$A$26=$A38)*('Raw Data'!$D$2:$D$26=2024),0)),"")</f>
        <v/>
      </c>
      <c r="E38" s="36" t="str">
        <f t="array" ref="E38">IFERROR(INDEX('Raw Data'!$F$2:$F$26,MATCH(1,('Raw Data'!$A$2:$A$26=$A38)*('Raw Data'!$D$2:$D$26=2024),0)),"")</f>
        <v/>
      </c>
      <c r="F38" s="36" t="str">
        <f t="array" ref="F38">IFERROR(INDEX('Raw Data'!$F$2:$F$26,MATCH(1,('Raw Data'!$A$2:$A$26=$A38)*('Raw Data'!$D$2:$D$26=2024),0)),"")</f>
        <v/>
      </c>
    </row>
    <row r="39" spans="1:6">
      <c r="A39" s="30">
        <v>2025</v>
      </c>
      <c r="B39" s="36" t="str">
        <f t="array" ref="B39">IFERROR(INDEX('Raw Data'!$F$2:$F$26,MATCH(1,('Raw Data'!$A$2:$A$26=$A39)*('Raw Data'!$D$2:$D$26=2025),0)),"")</f>
        <v/>
      </c>
      <c r="C39" s="36" t="str">
        <f t="array" ref="C39">IFERROR(INDEX('Raw Data'!$F$2:$F$26,MATCH(1,('Raw Data'!$A$2:$A$26=$A39)*('Raw Data'!$D$2:$D$26=2025),0)),"")</f>
        <v/>
      </c>
      <c r="D39" s="36" t="str">
        <f t="array" ref="D39">IFERROR(INDEX('Raw Data'!$F$2:$F$26,MATCH(1,('Raw Data'!$A$2:$A$26=$A39)*('Raw Data'!$D$2:$D$26=2025),0)),"")</f>
        <v/>
      </c>
      <c r="E39" s="36" t="str">
        <f t="array" ref="E39">IFERROR(INDEX('Raw Data'!$F$2:$F$26,MATCH(1,('Raw Data'!$A$2:$A$26=$A39)*('Raw Data'!$D$2:$D$26=2025),0)),"")</f>
        <v/>
      </c>
      <c r="F39" s="36" t="str">
        <f t="array" ref="F39">IFERROR(INDEX('Raw Data'!$F$2:$F$26,MATCH(1,('Raw Data'!$A$2:$A$26=$A39)*('Raw Data'!$D$2:$D$26=2025),0)),"")</f>
        <v/>
      </c>
    </row>
  </sheetData>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zoomScaleNormal="100" workbookViewId="0"/>
  </sheetViews>
  <sheetFormatPr defaultColWidth="8.7109375" defaultRowHeight="15"/>
  <cols>
    <col min="1" max="1" width="22" customWidth="1"/>
    <col min="2" max="3" width="16" customWidth="1"/>
    <col min="4" max="4" width="14" customWidth="1"/>
    <col min="5" max="6" width="16" customWidth="1"/>
    <col min="7" max="7" width="26" customWidth="1"/>
    <col min="8" max="8" width="50" customWidth="1"/>
  </cols>
  <sheetData>
    <row r="1" spans="1:8" ht="16.149999999999999">
      <c r="A1" s="40" t="s">
        <v>559</v>
      </c>
      <c r="B1" s="40"/>
      <c r="C1" s="40"/>
      <c r="D1" s="40"/>
      <c r="E1" s="40"/>
      <c r="F1" s="40"/>
      <c r="G1" s="40"/>
      <c r="H1" s="40"/>
    </row>
    <row r="2" spans="1:8" ht="90" customHeight="1">
      <c r="A2" s="39" t="s">
        <v>560</v>
      </c>
      <c r="B2" s="39"/>
      <c r="C2" s="39"/>
      <c r="D2" s="39"/>
      <c r="E2" s="39"/>
      <c r="F2" s="39"/>
      <c r="G2" s="39"/>
      <c r="H2" s="39"/>
    </row>
    <row r="4" spans="1:8" ht="23.85">
      <c r="A4" s="1" t="s">
        <v>99</v>
      </c>
      <c r="B4" s="1" t="s">
        <v>561</v>
      </c>
      <c r="C4" s="1" t="s">
        <v>562</v>
      </c>
      <c r="D4" s="1" t="s">
        <v>563</v>
      </c>
      <c r="E4" s="1" t="s">
        <v>564</v>
      </c>
      <c r="F4" s="1" t="s">
        <v>565</v>
      </c>
      <c r="G4" s="1" t="s">
        <v>566</v>
      </c>
      <c r="H4" s="1" t="s">
        <v>567</v>
      </c>
    </row>
    <row r="5" spans="1:8" ht="54.75" customHeight="1">
      <c r="A5" s="23" t="s">
        <v>124</v>
      </c>
      <c r="B5" s="37">
        <f>'Raw Data'!O2</f>
        <v>134927.79999999999</v>
      </c>
      <c r="C5" s="37">
        <f>'Raw Data'!O6</f>
        <v>203266</v>
      </c>
      <c r="D5" s="37">
        <f>(C5-B5)/B5*100</f>
        <v>50.64797617688869</v>
      </c>
      <c r="E5" s="37">
        <f>'Raw Data'!W6</f>
        <v>0</v>
      </c>
      <c r="F5" s="23" t="str">
        <f>IF(D5&lt;0,"Yes (falling)","No (rising)")</f>
        <v>No (rising)</v>
      </c>
      <c r="G5" s="23" t="str">
        <f>IF(D5&lt;0,IF(ABS(D5)&gt;=E5,"Consistent / ahead of stated pace","Consistent direction, behind stated pace"),"Inconsistent -- rising despite stated reduction commitment")</f>
        <v>Inconsistent -- rising despite stated reduction commitment</v>
      </c>
      <c r="H5" s="2" t="s">
        <v>568</v>
      </c>
    </row>
    <row r="6" spans="1:8" ht="54.75" customHeight="1">
      <c r="A6" s="23" t="s">
        <v>129</v>
      </c>
      <c r="B6" s="37">
        <f>'Raw Data'!O7</f>
        <v>501334</v>
      </c>
      <c r="C6" s="37">
        <f>'Raw Data'!O11</f>
        <v>365500</v>
      </c>
      <c r="D6" s="37">
        <f>(C6-B6)/B6*100</f>
        <v>-27.094511842404469</v>
      </c>
      <c r="E6" s="37">
        <f>'Raw Data'!W11</f>
        <v>15</v>
      </c>
      <c r="F6" s="23" t="str">
        <f>IF(D6&lt;0,"Yes (falling)","No (rising)")</f>
        <v>Yes (falling)</v>
      </c>
      <c r="G6" s="23" t="str">
        <f>IF(D6&lt;0,IF(ABS(D6)&gt;=E6,"Consistent / ahead of stated pace","Consistent direction, behind stated pace"),"Inconsistent -- rising despite stated reduction commitment")</f>
        <v>Consistent / ahead of stated pace</v>
      </c>
      <c r="H6" s="2" t="s">
        <v>569</v>
      </c>
    </row>
    <row r="7" spans="1:8" ht="54.75" customHeight="1">
      <c r="A7" s="23" t="s">
        <v>133</v>
      </c>
      <c r="B7" s="37">
        <f>'Raw Data'!O12</f>
        <v>8410000</v>
      </c>
      <c r="C7" s="37">
        <f>'Raw Data'!O16</f>
        <v>7510000</v>
      </c>
      <c r="D7" s="37">
        <f>(C7-B7)/B7*100</f>
        <v>-10.701545778834721</v>
      </c>
      <c r="E7" s="37">
        <f>'Raw Data'!W16</f>
        <v>10</v>
      </c>
      <c r="F7" s="23" t="str">
        <f>IF(D7&lt;0,"Yes (falling)","No (rising)")</f>
        <v>Yes (falling)</v>
      </c>
      <c r="G7" s="23" t="str">
        <f>IF(D7&lt;0,IF(ABS(D7)&gt;=E7,"Consistent / ahead of stated pace","Consistent direction, behind stated pace"),"Inconsistent -- rising despite stated reduction commitment")</f>
        <v>Consistent / ahead of stated pace</v>
      </c>
      <c r="H7" s="2" t="s">
        <v>570</v>
      </c>
    </row>
    <row r="8" spans="1:8" ht="54.75" customHeight="1">
      <c r="A8" s="23" t="s">
        <v>136</v>
      </c>
      <c r="B8" s="37">
        <f>'Raw Data'!O17</f>
        <v>261500</v>
      </c>
      <c r="C8" s="37">
        <f>'Raw Data'!O21</f>
        <v>140397</v>
      </c>
      <c r="D8" s="37">
        <f>(C8-B8)/B8*100</f>
        <v>-46.310898661567876</v>
      </c>
      <c r="E8" s="37">
        <f>'Raw Data'!W21</f>
        <v>45</v>
      </c>
      <c r="F8" s="23" t="str">
        <f>IF(D8&lt;0,"Yes (falling)","No (rising)")</f>
        <v>Yes (falling)</v>
      </c>
      <c r="G8" s="23" t="str">
        <f>IF(D8&lt;0,IF(ABS(D8)&gt;=E8,"Consistent / ahead of stated pace","Consistent direction, behind stated pace"),"Inconsistent -- rising despite stated reduction commitment")</f>
        <v>Consistent / ahead of stated pace</v>
      </c>
      <c r="H8" s="2" t="s">
        <v>571</v>
      </c>
    </row>
    <row r="9" spans="1:8" ht="54.75" customHeight="1">
      <c r="A9" s="23" t="s">
        <v>140</v>
      </c>
      <c r="B9" s="37">
        <f>'Raw Data'!O22</f>
        <v>67102000</v>
      </c>
      <c r="C9" s="37">
        <f>'Raw Data'!O26</f>
        <v>58728000</v>
      </c>
      <c r="D9" s="37">
        <f>(C9-B9)/B9*100</f>
        <v>-12.479508807487109</v>
      </c>
      <c r="E9" s="37">
        <f>'Raw Data'!W26</f>
        <v>30</v>
      </c>
      <c r="F9" s="23" t="str">
        <f>IF(D9&lt;0,"Yes (falling)","No (rising)")</f>
        <v>Yes (falling)</v>
      </c>
      <c r="G9" s="23" t="str">
        <f>IF(D9&lt;0,IF(ABS(D9)&gt;=E9,"Consistent / ahead of stated pace","Consistent direction, behind stated pace"),"Inconsistent -- rising despite stated reduction commitment")</f>
        <v>Consistent direction, behind stated pace</v>
      </c>
      <c r="H9" s="2" t="s">
        <v>572</v>
      </c>
    </row>
  </sheetData>
  <mergeCells count="2">
    <mergeCell ref="A1:H1"/>
    <mergeCell ref="A2:H2"/>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66D13944EB0449927A505747A211F0" ma:contentTypeVersion="10" ma:contentTypeDescription="Create a new document." ma:contentTypeScope="" ma:versionID="699522b42bbfaa083a16a6b22c50d0ba">
  <xsd:schema xmlns:xsd="http://www.w3.org/2001/XMLSchema" xmlns:xs="http://www.w3.org/2001/XMLSchema" xmlns:p="http://schemas.microsoft.com/office/2006/metadata/properties" xmlns:ns2="4f04b7c9-4423-4105-8613-7c143b2caac7" xmlns:ns3="77475bf9-6faf-4476-832f-4d33e5eb7678" targetNamespace="http://schemas.microsoft.com/office/2006/metadata/properties" ma:root="true" ma:fieldsID="58a81575f4fd6d073e65c4245de586c4" ns2:_="" ns3:_="">
    <xsd:import namespace="4f04b7c9-4423-4105-8613-7c143b2caac7"/>
    <xsd:import namespace="77475bf9-6faf-4476-832f-4d33e5eb767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04b7c9-4423-4105-8613-7c143b2caa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f4446a1-8a34-404e-b9d9-4935d7dab8b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7475bf9-6faf-4476-832f-4d33e5eb767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4eab1ab-f701-4800-80fd-48bec57bdb65}" ma:internalName="TaxCatchAll" ma:showField="CatchAllData" ma:web="77475bf9-6faf-4476-832f-4d33e5eb76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7475bf9-6faf-4476-832f-4d33e5eb7678" xsi:nil="true"/>
    <lcf76f155ced4ddcb4097134ff3c332f xmlns="4f04b7c9-4423-4105-8613-7c143b2caac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8FBCDB-CBE8-4A31-8F5D-E63FA5254280}"/>
</file>

<file path=customXml/itemProps2.xml><?xml version="1.0" encoding="utf-8"?>
<ds:datastoreItem xmlns:ds="http://schemas.openxmlformats.org/officeDocument/2006/customXml" ds:itemID="{C5099ABD-8987-463C-B2D3-0A112F063558}"/>
</file>

<file path=customXml/itemProps3.xml><?xml version="1.0" encoding="utf-8"?>
<ds:datastoreItem xmlns:ds="http://schemas.openxmlformats.org/officeDocument/2006/customXml" ds:itemID="{35B985F5-4B3F-4544-B387-E63CE4E96F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1</cp:revision>
  <dcterms:created xsi:type="dcterms:W3CDTF">2026-09-20T09:24:24Z</dcterms:created>
  <dcterms:modified xsi:type="dcterms:W3CDTF">2026-09-20T16:26:49Z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0x0101006466D13944EB0449927A505747A211F0</vt:lpwstr>
  </property>
  <property fmtid="{D5CDD505-2E9C-101B-9397-08002B2CF9AE}" pid="3" name="MediaServiceImageTags">
    <vt:lpwstr/>
  </property>
</Properties>
</file>